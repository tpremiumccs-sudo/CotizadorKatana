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EME" sheetId="1" r:id="rId5"/>
    <sheet state="visible" name="HISTORIAL TALENTOS" sheetId="2" r:id="rId6"/>
    <sheet state="visible" name="PERFIL COMERCIAL — CAPTURA" sheetId="3" r:id="rId7"/>
    <sheet state="visible" name="DASHBOARD" sheetId="4" r:id="rId8"/>
    <sheet state="visible" name="CATALOGOS" sheetId="5" r:id="rId9"/>
    <sheet state="visible" name="LEADS" sheetId="6" r:id="rId10"/>
    <sheet state="visible" name="PIPELINE" sheetId="7" r:id="rId11"/>
    <sheet state="visible" name="TALENTOS" sheetId="8" r:id="rId12"/>
    <sheet state="visible" name="TALENTOS_BACKUP_2026-08-01" sheetId="9" r:id="rId13"/>
    <sheet state="visible" name="MARCAS TARGET" sheetId="10" r:id="rId14"/>
    <sheet state="visible" name="AGENCIAS" sheetId="11" r:id="rId15"/>
    <sheet state="visible" name="RED ALL STARS" sheetId="12" r:id="rId16"/>
    <sheet state="visible" name="TARIFARIO KATANA" sheetId="13" r:id="rId17"/>
    <sheet state="visible" name="PROPUESTAS KATANA ENGINE" sheetId="14" r:id="rId18"/>
    <sheet state="visible" name="EXPEDIENTE PROPUESTAS" sheetId="15" r:id="rId19"/>
    <sheet state="visible" name="PRODUCCIÓN — EVENTOS" sheetId="16" r:id="rId20"/>
    <sheet state="visible" name="TALENT ASSETS" sheetId="17" r:id="rId21"/>
  </sheets>
  <definedNames>
    <definedName hidden="1" localSheetId="5" name="_xlnm._FilterDatabase">LEADS!$A$1:$V$500</definedName>
    <definedName hidden="1" localSheetId="6" name="_xlnm._FilterDatabase">PIPELINE!$A$1:$P$200</definedName>
    <definedName hidden="1" localSheetId="9" name="_xlnm._FilterDatabase">'MARCAS TARGET'!$A$1:$J$400</definedName>
    <definedName hidden="1" localSheetId="10" name="_xlnm._FilterDatabase">AGENCIAS!$A$1:$K$200</definedName>
  </definedNames>
  <calcPr/>
</workbook>
</file>

<file path=xl/sharedStrings.xml><?xml version="1.0" encoding="utf-8"?>
<sst xmlns="http://schemas.openxmlformats.org/spreadsheetml/2006/main" count="3213" uniqueCount="1304">
  <si>
    <t>CRM COMERCIAL — KATANA + KIF</t>
  </si>
  <si>
    <t>Fecha</t>
  </si>
  <si>
    <t>Llena SOLO las columnas D a H. El id, los nombres y el folder son técnicos: no los edites. Esta hoja NO captura estadísticas ni tarifas — esas viven en sus propias fuentes. NUNCA inventes logros, marcas ni cifras: si no lo puedes comprobar, déjalo vacío.</t>
  </si>
  <si>
    <t>Un solo archivo. Un solo pipeline. Se revisa cada lunes.</t>
  </si>
  <si>
    <t>Talento</t>
  </si>
  <si>
    <t>Campo</t>
  </si>
  <si>
    <t>Valor anterior</t>
  </si>
  <si>
    <t>Valor nuevo</t>
  </si>
  <si>
    <t>Usuario</t>
  </si>
  <si>
    <t>Fuente</t>
  </si>
  <si>
    <t>talent_id</t>
  </si>
  <si>
    <t>Tipo de cambio</t>
  </si>
  <si>
    <t>Fila TALENTOS</t>
  </si>
  <si>
    <t>Request ID</t>
  </si>
  <si>
    <t>canonical_name</t>
  </si>
  <si>
    <t>display_name</t>
  </si>
  <si>
    <t>Biografía breve</t>
  </si>
  <si>
    <t>Logros principales</t>
  </si>
  <si>
    <t>CÓMO USARLO</t>
  </si>
  <si>
    <t>Colaboraciones y campañas</t>
  </si>
  <si>
    <t>Links de campañas exitosas</t>
  </si>
  <si>
    <t>Marcas relacionadas</t>
  </si>
  <si>
    <t>1. LEADS</t>
  </si>
  <si>
    <t>source_status</t>
  </si>
  <si>
    <t>Todo contacto vive aquí. Un renglón = una persona (no una empresa). Vacía primero tus bases existentes.</t>
  </si>
  <si>
    <t>library_folder_id</t>
  </si>
  <si>
    <t>Responsable</t>
  </si>
  <si>
    <t>Última actualización</t>
  </si>
  <si>
    <t>2. PIPELINE</t>
  </si>
  <si>
    <t>DASHBOARD COMERCIAL</t>
  </si>
  <si>
    <t>EJEMPLO</t>
  </si>
  <si>
    <t>Solo deals con propuesta enviada o en negociación. Aquí se ve el dinero vs. la meta mensual.</t>
  </si>
  <si>
    <t>3. TALENTOS</t>
  </si>
  <si>
    <t>— borrar esta fila —</t>
  </si>
  <si>
    <t>Roster con verticales y estatus de media kit. Alimenta los dropdowns.</t>
  </si>
  <si>
    <t>— borrar —</t>
  </si>
  <si>
    <t>[Qué hace, por qué importa, qué lo hace distinto. 40-60 palabras. Sin adjetivos vacíos.]</t>
  </si>
  <si>
    <t>[3 a 5 logros comprobables, separados por punto y coma. Con año cuando exista.]</t>
  </si>
  <si>
    <t>4. MARCAS TARGET</t>
  </si>
  <si>
    <t>[Solo acuerdos REALES, separados por punto y coma. Una plática no es una colaboración.]</t>
  </si>
  <si>
    <t>El mapa de scouting por vertical (lo iremos llenando juntos, vertical por vertical).</t>
  </si>
  <si>
    <t>[URLs publicadas, una por línea. Sin link, no va la campaña.]</t>
  </si>
  <si>
    <t>Se actualiza solo. Revisar cada lunes, 20 minutos.</t>
  </si>
  <si>
    <t>[Marcas afines a las que le pega, aunque no haya trabajado con ellas. Esta sí es aspiracional.]</t>
  </si>
  <si>
    <t>PENDIENTE</t>
  </si>
  <si>
    <t>5. AGENCIAS</t>
  </si>
  <si>
    <t>Agencias que manejan influencer marketing de las marcas target.</t>
  </si>
  <si>
    <t>6. DASHBOARD</t>
  </si>
  <si>
    <t>KT-001</t>
  </si>
  <si>
    <t>Resumen automático: leads por estatus, dinero en pipeline vs. obligación mensual.</t>
  </si>
  <si>
    <t>7. CATALOGOS</t>
  </si>
  <si>
    <t>Divino Espinoza</t>
  </si>
  <si>
    <t>Listas que alimentan los dropdowns. Si agregas un vertical o estatus nuevo, se agrega aquí.</t>
  </si>
  <si>
    <t>REGLAS DE ORO</t>
  </si>
  <si>
    <t>OBLIGACIÓN MENSUAL (MXN)</t>
  </si>
  <si>
    <t>1LJV7J41pYCuLaLkPNYVRdIrqWKMBjRgm</t>
  </si>
  <si>
    <t>Jesús</t>
  </si>
  <si>
    <t>Regla 1</t>
  </si>
  <si>
    <t>Ningún lead sin "Próximo paso" y fecha. Un lead sin próximo paso es un lead muerto.</t>
  </si>
  <si>
    <t>KT-002</t>
  </si>
  <si>
    <t>Lazy Boy</t>
  </si>
  <si>
    <t>Regla 2</t>
  </si>
  <si>
    <t>Tibio antes que frío: primero se trabaja la gente que ya te conoce.</t>
  </si>
  <si>
    <t>Regla 3</t>
  </si>
  <si>
    <t>← Editable (Rivaldo). Si se renegocia, cámbialo aquí.</t>
  </si>
  <si>
    <t>Meta viva: 8 propuestas activas en PIPELINE, siempre.</t>
  </si>
  <si>
    <t>1FJuLZ5coA36tdK4eDM8uTqnwMNm872hm</t>
  </si>
  <si>
    <t>LEADS ACTIVOS SIN PRÓXIMO PASO</t>
  </si>
  <si>
    <t>Regla 4</t>
  </si>
  <si>
    <t>KT-003</t>
  </si>
  <si>
    <t>Lunes = 20 min de revisión del DASHBOARD. Nada más.</t>
  </si>
  <si>
    <t>Luis Pride</t>
  </si>
  <si>
    <t>1UjZkcQ_T4pLVxujZhh4ME1fP87N-4gby</t>
  </si>
  <si>
    <t>KT-004</t>
  </si>
  <si>
    <t>Ronaldo BXM</t>
  </si>
  <si>
    <t>1aA5WfpiPjF3tAhzTxXIQmu7MuryCVeuo</t>
  </si>
  <si>
    <t>KT-005</t>
  </si>
  <si>
    <t>Tejon de la Miel</t>
  </si>
  <si>
    <t>Tejón de la Miel</t>
  </si>
  <si>
    <t>1la5czIUdiZO1ilJxnaMHSNObFjeE0jhC</t>
  </si>
  <si>
    <t>KT-006</t>
  </si>
  <si>
    <t>Mama Tejona</t>
  </si>
  <si>
    <t>Mamá Tejona</t>
  </si>
  <si>
    <t>10wR2gldOS8ouOiHJwtIS4fr1hES1mRuc</t>
  </si>
  <si>
    <t>KT-007</t>
  </si>
  <si>
    <t>Cesar de la Parra</t>
  </si>
  <si>
    <t>César de la Parra</t>
  </si>
  <si>
    <t>1Nzq8tDH1gPeE5uOgpOaD0SELM6PaAsTp</t>
  </si>
  <si>
    <t>KT-008</t>
  </si>
  <si>
    <t>Mar Coronel</t>
  </si>
  <si>
    <t>Meta: 0. Un lead sin próximo paso es un lead muerto.</t>
  </si>
  <si>
    <t>PROPUESTAS ACTIVAS (meta: 8)</t>
  </si>
  <si>
    <t>1saKx4zCLWHkzv8t_U7UYfY684cXkcjpA</t>
  </si>
  <si>
    <t>KT-009</t>
  </si>
  <si>
    <t>Nene Creative</t>
  </si>
  <si>
    <t>1SqyS83UWl7ZDs_YZSaEIFw8seoO7gcp7</t>
  </si>
  <si>
    <t>KT-010</t>
  </si>
  <si>
    <t>Julio Orozco</t>
  </si>
  <si>
    <t>1MAsj4wz6UrtFjt_fvL8EIq4rPA57mWMx</t>
  </si>
  <si>
    <t>KT-011</t>
  </si>
  <si>
    <t>Mariel Estrella</t>
  </si>
  <si>
    <t>FEE EN PIPELINE (total, MXN)</t>
  </si>
  <si>
    <t>1ckIvy8oUklftpUARy2DuyYQowggb-MaP</t>
  </si>
  <si>
    <t>KT-012</t>
  </si>
  <si>
    <t>Tony Gastelum</t>
  </si>
  <si>
    <t>Tony Gastélum</t>
  </si>
  <si>
    <t>1hXOEB4LV3icf6uO-otLv1m_DYXXHRCf0</t>
  </si>
  <si>
    <t>KT-013</t>
  </si>
  <si>
    <t>Yoiker</t>
  </si>
  <si>
    <t>1A5iaIXVz7TGqJcY1N5l-vvxXfZ4fL1fN</t>
  </si>
  <si>
    <t>KT-014</t>
  </si>
  <si>
    <t>Kike Padilla</t>
  </si>
  <si>
    <t>Kike Padilla / Rookie Leagues</t>
  </si>
  <si>
    <t>FEE PONDERADO (realista, MXN)</t>
  </si>
  <si>
    <t>15zviuZpcIO8UgOF-nJlfMKbarrbc5V_b</t>
  </si>
  <si>
    <t>KT-015</t>
  </si>
  <si>
    <t>Neux</t>
  </si>
  <si>
    <t>1YuWA0aip1rN-KCYPhwIyeyBgofiitIgC</t>
  </si>
  <si>
    <t>KT-016</t>
  </si>
  <si>
    <t>Mike Maquina del Mal</t>
  </si>
  <si>
    <t>Mike Máquina del Mal</t>
  </si>
  <si>
    <t>1llfutpQWHCBdJE4AMu_s8j4IQdD_tRx0</t>
  </si>
  <si>
    <t>KT-017</t>
  </si>
  <si>
    <t>Gambetiti</t>
  </si>
  <si>
    <t>GANADO (fee cerrado, MXN)</t>
  </si>
  <si>
    <t>1XK_s4tWrs_JE98L3F7Y9qmNdHDGv_d0V</t>
  </si>
  <si>
    <t>KT-019</t>
  </si>
  <si>
    <t>Diego Alamillo</t>
  </si>
  <si>
    <t>1g2kfmDGCW8Y28t1PSW8GsTqUP3G-tWXq</t>
  </si>
  <si>
    <t>KT-020</t>
  </si>
  <si>
    <t>Chuy Almada</t>
  </si>
  <si>
    <t>11NMvzzbnAQdW3IORqJYawb3cxos8VU4g</t>
  </si>
  <si>
    <t>KT-027</t>
  </si>
  <si>
    <t>Juan de Dios</t>
  </si>
  <si>
    <t>FEE PONDERADO POR MES DE COBRO</t>
  </si>
  <si>
    <t>1xuD0G0pPo4moGQgEYQOZlvM-npY-fj0B</t>
  </si>
  <si>
    <t>KT-028</t>
  </si>
  <si>
    <t>Padigol</t>
  </si>
  <si>
    <t>LEADS POR ESTATUS</t>
  </si>
  <si>
    <t>1DZO6m1Om0i5NIYPDgLYkTZeT5B4YkbM9</t>
  </si>
  <si>
    <t>Mes</t>
  </si>
  <si>
    <t>Fee ponderado</t>
  </si>
  <si>
    <t>vs. obligación</t>
  </si>
  <si>
    <t>Estatus</t>
  </si>
  <si>
    <t>Cuenta</t>
  </si>
  <si>
    <t>Jul 2026</t>
  </si>
  <si>
    <t>VERTICALES</t>
  </si>
  <si>
    <t>TIPO DE LEAD</t>
  </si>
  <si>
    <t>ESTATUS LEAD</t>
  </si>
  <si>
    <t>TEMPERATURA</t>
  </si>
  <si>
    <t>PRIORIDAD</t>
  </si>
  <si>
    <t>UNIDAD DE NEGOCIO</t>
  </si>
  <si>
    <t>TALENTOS</t>
  </si>
  <si>
    <t>RESPONSABLE</t>
  </si>
  <si>
    <t>ETAPA DEAL</t>
  </si>
  <si>
    <t>PROBABILIDAD</t>
  </si>
  <si>
    <t>Bebidas</t>
  </si>
  <si>
    <t>Marca directa</t>
  </si>
  <si>
    <t>Por contactar</t>
  </si>
  <si>
    <t>Caliente (ya trabajamos)</t>
  </si>
  <si>
    <t>P1 - Esta semana</t>
  </si>
  <si>
    <t>KIF (campañas)</t>
  </si>
  <si>
    <t>Pool Combate (paquete)</t>
  </si>
  <si>
    <t>Chuy</t>
  </si>
  <si>
    <t>Propuesta enviada</t>
  </si>
  <si>
    <t>25%</t>
  </si>
  <si>
    <t>Alimentos &amp; Gastro</t>
  </si>
  <si>
    <t>Agencia creativa</t>
  </si>
  <si>
    <t>Contactado</t>
  </si>
  <si>
    <t>Tibio (nos conoce)</t>
  </si>
  <si>
    <t>P2 - Este mes</t>
  </si>
  <si>
    <t>Katana (talento casa)</t>
  </si>
  <si>
    <t>Ramiro</t>
  </si>
  <si>
    <t>Negociación</t>
  </si>
  <si>
    <t>50%</t>
  </si>
  <si>
    <t>Apuestas &amp; Fantasy</t>
  </si>
  <si>
    <t>Agencia de medios</t>
  </si>
  <si>
    <t>En conversación</t>
  </si>
  <si>
    <t>Frío (scouting)</t>
  </si>
  <si>
    <t>P3 - Después</t>
  </si>
  <si>
    <t>FIERA</t>
  </si>
  <si>
    <t>Lacy Way</t>
  </si>
  <si>
    <t>Paty</t>
  </si>
  <si>
    <t>Contrato</t>
  </si>
  <si>
    <t>75%</t>
  </si>
  <si>
    <t>Tech &amp; Telecom</t>
  </si>
  <si>
    <t>Agencia influencer mkt</t>
  </si>
  <si>
    <t>Reunión agendada</t>
  </si>
  <si>
    <t>Ago 2026</t>
  </si>
  <si>
    <t>Fórmula S</t>
  </si>
  <si>
    <t>Otro</t>
  </si>
  <si>
    <t>Cerrado GANADO</t>
  </si>
  <si>
    <t>90%</t>
  </si>
  <si>
    <t>Gaming &amp; Esports</t>
  </si>
  <si>
    <t>Agencia PR</t>
  </si>
  <si>
    <t>DOPA/Park8</t>
  </si>
  <si>
    <t>Ronny</t>
  </si>
  <si>
    <t>Cerrado PERDIDO</t>
  </si>
  <si>
    <t>Sportswear &amp; Nutrición</t>
  </si>
  <si>
    <t>BTL / Experiential</t>
  </si>
  <si>
    <t>Belleza &amp; Wellness</t>
  </si>
  <si>
    <t>Productora</t>
  </si>
  <si>
    <t>Tejón + Mamá (dupla familiar)</t>
  </si>
  <si>
    <t>Sep 2026</t>
  </si>
  <si>
    <t>Streaming &amp; Entretenimiento</t>
  </si>
  <si>
    <t>Plataforma</t>
  </si>
  <si>
    <t>Familia &amp; Kids</t>
  </si>
  <si>
    <t>Sponsor</t>
  </si>
  <si>
    <t>Dormido</t>
  </si>
  <si>
    <t>Financiero &amp; Fintech</t>
  </si>
  <si>
    <t>Aliado comercial</t>
  </si>
  <si>
    <t>Oct 2026</t>
  </si>
  <si>
    <t>Mariely</t>
  </si>
  <si>
    <t>Talento aliado (externo)</t>
  </si>
  <si>
    <t>Nov 2026</t>
  </si>
  <si>
    <t>Varios / Pool mixto</t>
  </si>
  <si>
    <t>Dic 2026</t>
  </si>
  <si>
    <t>Ene 2027</t>
  </si>
  <si>
    <t>SEÑALÉTICA:</t>
  </si>
  <si>
    <t>ACTIVO — ya hay contacto real / cerrado</t>
  </si>
  <si>
    <t>A UN PASO — contrato / por firmar</t>
  </si>
  <si>
    <t>EN PROCESO — negociación / propuesta / tibio</t>
  </si>
  <si>
    <t>FRÍO — target, aún sin contactar</t>
  </si>
  <si>
    <t>PERDIDO / DORMIDO — reactivar o descartar</t>
  </si>
  <si>
    <t>ID</t>
  </si>
  <si>
    <t>Empresa</t>
  </si>
  <si>
    <t>Tipo</t>
  </si>
  <si>
    <t>Vertical</t>
  </si>
  <si>
    <t>Contacto (nombre)</t>
  </si>
  <si>
    <t>Cargo</t>
  </si>
  <si>
    <t>Email</t>
  </si>
  <si>
    <t>Teléfono / WhatsApp</t>
  </si>
  <si>
    <t>LinkedIn</t>
  </si>
  <si>
    <t>Ciudad</t>
  </si>
  <si>
    <t>Temperatura</t>
  </si>
  <si>
    <t>Prioridad</t>
  </si>
  <si>
    <t>Unidad de negocio</t>
  </si>
  <si>
    <t>Talento recomendado</t>
  </si>
  <si>
    <t>Idea de campaña / ángulo</t>
  </si>
  <si>
    <t>Último contacto</t>
  </si>
  <si>
    <t>Próximo paso</t>
  </si>
  <si>
    <t>Fecha próximo paso</t>
  </si>
  <si>
    <t>Notas</t>
  </si>
  <si>
    <t>Cerveza Victoria</t>
  </si>
  <si>
    <t>(nombre del contacto)</t>
  </si>
  <si>
    <t>Brand Manager</t>
  </si>
  <si>
    <t>CDMX</t>
  </si>
  <si>
    <t>Pool combate + activación en función</t>
  </si>
  <si>
    <t>Mandar media kit y pedir llamada</t>
  </si>
  <si>
    <t>Relación previa</t>
  </si>
  <si>
    <t>EJEMPLO — borra este renglón</t>
  </si>
  <si>
    <t>L003</t>
  </si>
  <si>
    <t>Paramount Pictures</t>
  </si>
  <si>
    <t>Aureliano “Aure” Domínguez / María Constela Olivares</t>
  </si>
  <si>
    <t>PR / Películas (cargo exacto pendiente)</t>
  </si>
  <si>
    <t>Aureliano_Dominguez@paramount.com / Maria.ConstelaOlivares@paramount.com</t>
  </si>
  <si>
    <t/>
  </si>
  <si>
    <t>PR por estreno: premieres, junkets, experiencias y contenido con talento según cada película. Street Fighter en seguimiento.</t>
  </si>
  <si>
    <t>2026-08-03</t>
  </si>
  <si>
    <t>Esperar respuesta de Aure sobre Street Fighter y pedir próximos títulos/oportunidades de PR. Solicitar de nuevo enlace con Félix por separado.</t>
  </si>
  <si>
    <t>Relación directa / junta Paramount 2026-06-03</t>
  </si>
  <si>
    <t>Relación principalmente de PR y normalmente sin paga; ocasionalmente puede haber presupuesto. No existe calendario de estrenos ni fechas confirmadas en las fuentes. Mantener Paramount Películas separado de Paramount Social/UFC.</t>
  </si>
  <si>
    <t>ID Deal</t>
  </si>
  <si>
    <t>Descripción del deal</t>
  </si>
  <si>
    <t>Etapa</t>
  </si>
  <si>
    <t>Probabilidad</t>
  </si>
  <si>
    <t>Monto total (MXN)</t>
  </si>
  <si>
    <t>Fee neto Katana/KIF (MXN)</t>
  </si>
  <si>
    <t>Fee ponderado (MXN)</t>
  </si>
  <si>
    <t>Mes de cierre esperado</t>
  </si>
  <si>
    <t>Mes de cobro esperado</t>
  </si>
  <si>
    <t>Gatorade (vía Affluency / FCO Group)</t>
  </si>
  <si>
    <t>Propuesta preliminar para Gatorade dirigida a Gen Z y Millennials. Scope solicitado: 1 Reel + 1 TikTok + 1 mes de pauta + 1 mes de exclusividad. Afluency preguntó si podía cerrarse en $120,000 MXN; Chuy indicó que $140,000 MXN sería el mínimo viable y aclaró que la propuesta previa no incluía pauta ni exclusividad.</t>
  </si>
  <si>
    <t>Negociación preliminar / sin brief final</t>
  </si>
  <si>
    <t>Esperar brief formal y respuesta de Gatorade/Affluency. No aprobar $120,000 MXN sin revisar exactamente si Reel y TikTok son piezas distintas o espejo, así como términos de pauta y exclusividad.</t>
  </si>
  <si>
    <t>2026-08-04</t>
  </si>
  <si>
    <t>Evidencia por WhatsApp: objetivo de awareness para Gen Z y Millennials; scope preliminar de 1 Reel, 1 TikTok, 1 mes de pauta y 1 mes de exclusividad. Afluency propuso $120,000 MXN o dos Reels; Chuy señaló $140,000 MXN como máximo ajuste posible dentro de precio paquete. Brief aún no disponible. No marcar como aprobado, cerrado ni tarifa final autorizada hasta recibir brief y confirmar derechos.</t>
  </si>
  <si>
    <t>Canal MX (vía agencia Padrinito)</t>
  </si>
  <si>
    <t>Wereverwero</t>
  </si>
  <si>
    <t>Audio — campaña Canal MX</t>
  </si>
  <si>
    <t>100%</t>
  </si>
  <si>
    <t>Dar seguimiento a entrega (Wereverwero "no tarda")</t>
  </si>
  <si>
    <t>Cerrado por Ramiro</t>
  </si>
  <si>
    <t>Confirmar entrega recibida y facturar</t>
  </si>
  <si>
    <t>Cerrado por Ramiro. Monto aprox. ("creo 30 mil") — confirmar exacto</t>
  </si>
  <si>
    <t>Mercedes Roa</t>
  </si>
  <si>
    <t>Cerrar monto y firmar</t>
  </si>
  <si>
    <t>D006</t>
  </si>
  <si>
    <t>VERSUS BET (vía VKNG Group)</t>
  </si>
  <si>
    <t>1 TikTok + espejo en Instagram Reels + derechos de pauta en TikTok por 30 días</t>
  </si>
  <si>
    <t>Negociar el cierre en $45,000 MXN y confirmar condiciones finales con VKNG Group / VERSUS BET</t>
  </si>
  <si>
    <t>Condición corregida: pago a 90 días hábiles. Tony ya aceptó $35,000 MXN como punto de partida. Ramiro busca subir el deal a $45,000 MXN. Responsable comercial: Ramiro. Mantener como negociación hasta confirmación final del cliente.</t>
  </si>
  <si>
    <t>D007</t>
  </si>
  <si>
    <t>Gamergy</t>
  </si>
  <si>
    <t>Katana (talento casa / IP)</t>
  </si>
  <si>
    <t>Propuesta de seguimiento para llegar con concepto de torneo de FC Mobile + participación de Nene Creative.</t>
  </si>
  <si>
    <t>En proceso — seguimiento / propuesta por desarrollar</t>
  </si>
  <si>
    <t>35%</t>
  </si>
  <si>
    <t>Dar seguimiento a Gamergy y preparar propuesta concreta de torneo FC Mobile con Nene Creative.</t>
  </si>
  <si>
    <t>No inventar presupuesto, alcance ni derechos. Definir formato del torneo, rol de Nene, fechas, sede/plataforma, producción y patrocinadores antes de cotizar.</t>
  </si>
  <si>
    <t>D008</t>
  </si>
  <si>
    <t>Goodyear</t>
  </si>
  <si>
    <t>Por definir</t>
  </si>
  <si>
    <t>Campaña con presupuesto total de $120,000 MXN. Se evalúan uno o varios talentos para cubrir el alcance dentro del presupuesto.</t>
  </si>
  <si>
    <t>En proceso — armado de opciones</t>
  </si>
  <si>
    <t>Definir qué talento puede cubrir todo el alcance por $120,000 MXN y armar una o varias opciones para presentar.</t>
  </si>
  <si>
    <t>Perfiles revisados: Chuy Almada, Ronny BXM, Luis Pride, Juan de Dios García y Yozz. No hay talento seleccionado ni propuesta aprobada. Ramiro acomodará entregables y propondrá la mejor opción dentro del presupuesto. Confirmar si el monto incluye IVA, pauta y derechos.</t>
  </si>
  <si>
    <t>D009</t>
  </si>
  <si>
    <t>Banx / Banxs (Gera)</t>
  </si>
  <si>
    <t>Katana — PR, lanzamiento e influencers</t>
  </si>
  <si>
    <t>Nuevo banco o neobanco próximo a lanzarse al mercado. Posible iguala para dar a conocer el producto, generar conversiones y aperturas de cuenta mediante PR, líderes de opinión e influencers.</t>
  </si>
  <si>
    <t>Descubrimiento — reunión inicial</t>
  </si>
  <si>
    <t>Escuchar objetivos, producto, audiencia, fecha de lanzamiento, alcance esperado, KPIs, presupuesto y duración de la posible iguala. Definir siguiente paso para propuesta.</t>
  </si>
  <si>
    <t>No asumir todavía que el alcance está cerrado. Confirmar nombre comercial, estatus regulatorio, funcionalidades disponibles, mensajes permitidos, responsables internos y si buscan campaña puntual o iguala mensual. No prometer talentos, métricas ni resultados antes del brief.</t>
  </si>
  <si>
    <t>D010</t>
  </si>
  <si>
    <t>Supernova — Luis Pride</t>
  </si>
  <si>
    <t>Katana — talento / negociación</t>
  </si>
  <si>
    <t>Negociación para participación de Luis Pride en Supernova. Alan Tamayo ofreció $500,000 MXN; Chuy abrió en $550,000 MXN y buscará mejorar la oferta antes de cerrar.</t>
  </si>
  <si>
    <t>Negociación activa</t>
  </si>
  <si>
    <t>Esperar respuesta de Alan Tamayo, empujar la cifra por arriba de $500,000 MXN y cerrar condiciones finales con Luis Pride.</t>
  </si>
  <si>
    <t>Oferta actual confirmada: $500,000 MXN. Ancla inicial de Chuy: $550,000 MXN. Antes de cerrar, confirmar IVA, viáticos, hospedaje, exclusividad, derechos de imagen, publicaciones, apariciones previas, forma de pago, cancelación y penalizaciones. No marcar como cerrado hasta tener aceptación y condiciones completas.</t>
  </si>
  <si>
    <t>D011</t>
  </si>
  <si>
    <t>Supernova — Gera MX vs Lit Killah</t>
  </si>
  <si>
    <t>Gera MX</t>
  </si>
  <si>
    <t>Oportunidad para cerrar a Gera MX como rival de Lit Killah en Supernova. Lit Killah ya está puesto. Chuy llevará directamente el cierre y la negociación de Gera MX.</t>
  </si>
  <si>
    <t>Contacto iniciado / negociación por abrir</t>
  </si>
  <si>
    <t>Dar seguimiento a Durán, personal manager de Gera MX, para confirmar interés formal, disponibilidad y expectativa económica; después abrir negociación y cerrar a Gera.</t>
  </si>
  <si>
    <t>2026-08-05</t>
  </si>
  <si>
    <t>Lit Killah está confirmado y dispuesto. Mensaje ya enviado a Durán. No registrar la pelea como cerrada hasta tener aceptación formal de Gera MX y acuerdo económico y contractual.</t>
  </si>
  <si>
    <t>Categoría</t>
  </si>
  <si>
    <t>Verticales que abre</t>
  </si>
  <si>
    <t>Tipo (casa / aliado)</t>
  </si>
  <si>
    <t>IG seguidores</t>
  </si>
  <si>
    <t>TikTok seguidores</t>
  </si>
  <si>
    <t>YouTube subs</t>
  </si>
  <si>
    <t>Otras plataformas</t>
  </si>
  <si>
    <t>Media kit HTML</t>
  </si>
  <si>
    <t>Tarifa base referencia (MXN)</t>
  </si>
  <si>
    <t>Notas / ángulo comercial</t>
  </si>
  <si>
    <t>País / mercado</t>
  </si>
  <si>
    <t>Estatus network</t>
  </si>
  <si>
    <t>Prioridad comercial</t>
  </si>
  <si>
    <t>Disponibilidad</t>
  </si>
  <si>
    <t>Foto principal</t>
  </si>
  <si>
    <t>Bio corta</t>
  </si>
  <si>
    <t>Campañas / casos</t>
  </si>
  <si>
    <t>Logros</t>
  </si>
  <si>
    <t>Videos</t>
  </si>
  <si>
    <t>Fecha de corte métricas</t>
  </si>
  <si>
    <t>Fuente métricas</t>
  </si>
  <si>
    <t>Notas operativas</t>
  </si>
  <si>
    <t>Actualizado por</t>
  </si>
  <si>
    <t>MMA</t>
  </si>
  <si>
    <t>Bebidas, Apuestas, Sportswear, Nutrición</t>
  </si>
  <si>
    <t>KATANA — Casa</t>
  </si>
  <si>
    <t>Pendiente</t>
  </si>
  <si>
    <t>Ver Tarifario Maestro 2026</t>
  </si>
  <si>
    <t>Activo premium de box. La cifra de $750,000 MXN aplica como referencia para presencia de marca en el short durante el combate. Puede ampliarse a ropa de entrenamiento, llegada, pesaje, conferencia o contenido asociado según el paquete. Sujeto a evento, rival, transmisión, ubicación del logo, derechos, exclusividad y aprobación final. Fuente: definición interna Chuy, 31-jul-2026. Pendiente aprobación de Ramiro.</t>
  </si>
  <si>
    <t>Box / Creator / Coach</t>
  </si>
  <si>
    <t>Box, Combate, Sportswear, Nutrición, Apuestas, Bebidas, Fitness</t>
  </si>
  <si>
    <t>Twitch principal | Kick disponible</t>
  </si>
  <si>
    <t>https://drive.google.com/file/d/1TWMAP6Ak43b1IMU3mSScKstMW9jvHAjA/view</t>
  </si>
  <si>
    <t>PILOTO — FASE 1. Métricas capturadas del roster operativo: Instagram 958K, TikTok 1.1M y YouTube 23.3K; requieren validación de fecha de corte antes de usarse con cliente. Media kit V1 localizado en Drive. Existen al menos tres copias del mismo HTML; pendiente declarar una sola versión maestra y archivar duplicados. Tarifario en revisión de Ramiro.</t>
  </si>
  <si>
    <t>PILOTO — FASE 1</t>
  </si>
  <si>
    <t>Box — Promesa</t>
  </si>
  <si>
    <t>Familia &amp; Kids, Sportswear, Alimentos</t>
  </si>
  <si>
    <t>Regla de espejo aplicada: 1.5x el precio más alto entre TikTok y Reel IG. Fee base por pelear: $450,000 MXN. Fuente: definición interna Chuy, 31-jul-2026.</t>
  </si>
  <si>
    <t>Box — Campeón del mundo</t>
  </si>
  <si>
    <t>Bebidas, Apuestas, Sportswear, Streaming</t>
  </si>
  <si>
    <t>Caso por caso</t>
  </si>
  <si>
    <t>Streamer también activo en Twitch. La tarifa de stream registrada corresponde a Twitch. Fee base por pelear: $250,000 MXN. Fuente: Tabulador HONOR + ajustes internos de Chuy, 31-jul-2026. Propuesta interna pendiente de aprobación de Ramiro.</t>
  </si>
  <si>
    <t>MMA / UFC</t>
  </si>
  <si>
    <t>Bebidas, Apuestas, Sportswear, Grooming</t>
  </si>
  <si>
    <t>KATANA — Aliado (definir)</t>
  </si>
  <si>
    <t>TikTok igual a Mariel Estrella. Reel IG corregido a $150,000 y Reel Collab a $180,000. Peleas desde $50,000 MXN, sujeto a rival, evento, transmisión, ciudad, viáticos, exposición de marca y condiciones deportivas. Menor de edad: requiere autorización de tutor, revisión legal y aprobación interna. Fuente: definición interna Chuy, 31-jul-2026. Pendiente aprobación de Ramiro.</t>
  </si>
  <si>
    <t>Chef — Alto perfil</t>
  </si>
  <si>
    <t>Alimentos &amp; Gastro, Bebidas, Electrodomésticos, Delivery, Turismo</t>
  </si>
  <si>
    <t>KATANA — Acceso exclusivo</t>
  </si>
  <si>
    <t>Perfil altamente selectivo. Solo considerar marcas con afinidad real y aprobación expresa del talento. Priorizar acuerdos anuales, embajadurías de largo plazo o proyectos extraordinarios con alto valor creativo, gastronómico o reputacional. No manejar tarifario estándar ni cotizar por pieza aislada salvo excepción estratégica. Fuente: definición interna Chuy, 31-jul-2026. Requiere revisión de Jesús y Ramiro antes de presentar.</t>
  </si>
  <si>
    <t>Fitness / Lifestyle / Wellness</t>
  </si>
  <si>
    <t>Fitness, Wellness, Sportswear, Belleza, Healthy food</t>
  </si>
  <si>
    <t>PENDIENTE: completar bio, propuesta de valor, plataformas, métricas, assets, casos y restricciones. La nota anterior de pronósticos/apuestas no correspondía a este perfil.</t>
  </si>
  <si>
    <t>Mariely Coronel</t>
  </si>
  <si>
    <t>Fútbol</t>
  </si>
  <si>
    <t>Apuestas, Bebidas, Snacks, Telcos</t>
  </si>
  <si>
    <t>Twitch es su plataforma principal de streaming. Stream dedicado para marca: $120,000 MXN por hora. Integraciones dentro de streams existentes se cotizan caso por caso. YouTube disponible: video dedicado, integración y Short; tarifas pendientes. Fuente: definición interna Chuy, 31-jul-2026. Pendiente aprobación de Ramiro.</t>
  </si>
  <si>
    <t>Gaming / Esports / Streaming</t>
  </si>
  <si>
    <t>Gaming, Esports, Tech, Telecom, Automotriz, Energy</t>
  </si>
  <si>
    <t>Kick | Twitch | YouTube</t>
  </si>
  <si>
    <t>Kick es su plataforma principal de streaming. YouTube disponible: video dedicado, integración dentro de video y Short; tarifas pendientes. Fuente: definición interna Chuy, 31-jul-2026. Propuesta interna pendiente de aprobación de Ramiro.</t>
  </si>
  <si>
    <t>Música / Podcast / IRL</t>
  </si>
  <si>
    <t>Bebidas, Festivales, Ticketing, Moda, Nightlife</t>
  </si>
  <si>
    <t>Kick | YouTube</t>
  </si>
  <si>
    <t>Cierres en curso — empujar.</t>
  </si>
  <si>
    <t>Juan de Dios García</t>
  </si>
  <si>
    <t>Storytime / Vlogging</t>
  </si>
  <si>
    <t>Entretenimiento, Bebidas, Apps</t>
  </si>
  <si>
    <t>KATANA — Operable</t>
  </si>
  <si>
    <t>@juanddiosg</t>
  </si>
  <si>
    <t>POSIBLE DUPLICADO: ¿Mariely = Mar Coronel (Marieli Coronel)? Confirmar y consolidar.</t>
  </si>
  <si>
    <t>Familia / Lifestyle / Box</t>
  </si>
  <si>
    <t>Familia &amp; Kids, Sportswear, Alimentos, Wellness</t>
  </si>
  <si>
    <t>KATANA — Ecosistema Tejón</t>
  </si>
  <si>
    <t>Tarifario construido con definición directa de Chuy. TikTok + réplica espejo en Reel se mantiene por encima del TikTok individual. Publicación fijada durante 7 días y exclusividad mensual se cotizan por separado. TikTok audio musical: pendiente de definir. Fuente: definición interna Chuy, 31-jul-2026. No incluye IVA, producción, viáticos, pauta ni derechos de uso adicionales.</t>
  </si>
  <si>
    <t>Calistenia / Fitness</t>
  </si>
  <si>
    <t>Sportswear, Fitness, Nutrición, Wellness, Tech deportiva</t>
  </si>
  <si>
    <t>Rates altos; propuesto Viuda de Romero $4M</t>
  </si>
  <si>
    <t>Streamer / Fútbol</t>
  </si>
  <si>
    <t>Fútbol, Apuestas, Gaming, Streaming</t>
  </si>
  <si>
    <t>YouTube Live | Twitch | Kick</t>
  </si>
  <si>
    <t>Deal Coca-Cola y X Gear cerrados; peleó Supernova. Tarifa top de la red</t>
  </si>
  <si>
    <t>Fútbol / Creator</t>
  </si>
  <si>
    <t>Fútbol, Apuestas, Bebidas</t>
  </si>
  <si>
    <t>@gambetiti</t>
  </si>
  <si>
    <t>Deal Supernova y Mas Color Mundial cerrados</t>
  </si>
  <si>
    <t>Gaming / Streaming</t>
  </si>
  <si>
    <t>Gaming, Tech, Telecom, Automotriz, Turismo</t>
  </si>
  <si>
    <t>@a_aguero19 / @neuxito</t>
  </si>
  <si>
    <t>Bet Master always-on mensual; H2O Power</t>
  </si>
  <si>
    <t>Fitness / Box</t>
  </si>
  <si>
    <t>Fitness, Box, Sportswear, Nutrición, Wellness, Combate</t>
  </si>
  <si>
    <t>KATANA — Chuy</t>
  </si>
  <si>
    <t>YouTube</t>
  </si>
  <si>
    <t>PENDIENTE: completar bio, propuesta de valor, plataformas, métricas, assets, casos y restricciones. Categoría corregida por Jesús Gallardo el 2-ago-2026: fitness y box, no fútbol.</t>
  </si>
  <si>
    <t>Gaming / Streaming / Entretenimiento</t>
  </si>
  <si>
    <t>Gaming, Tech, Telecom, Eventos, Experiencias</t>
  </si>
  <si>
    <t>Kick</t>
  </si>
  <si>
    <t>No realiza streams. Sí realiza hosteo, con tarifa base desde $30,000 MXN. Escalera comercial validada: Reel IG $70,000; Post fijo IG $80,000; Reel Collab $85,000; TikTok + réplica espejo en Reel $140,000. Presencia en evento $60,000. TikTok audio musical pendiente de definir. Fuente: definición interna Chuy, 31-jul-2026.</t>
  </si>
  <si>
    <t>Béisbol / Streaming</t>
  </si>
  <si>
    <t>Béisbol, Gaming, Streaming, Tech, Eventos, Experiencias</t>
  </si>
  <si>
    <t>48.9K aprox. — validar</t>
  </si>
  <si>
    <t>Twitch | Kick | YouTube</t>
  </si>
  <si>
    <t>Peleó preliminar Supernova 2025</t>
  </si>
  <si>
    <t>Stephany TV</t>
  </si>
  <si>
    <t>Gaming, Tech, Telecom, Lifestyle, Eventos</t>
  </si>
  <si>
    <t>Twitch / Kick — confirmar</t>
  </si>
  <si>
    <t>Tarifario pendiente</t>
  </si>
  <si>
    <t>Padigol / Santiago Padilla</t>
  </si>
  <si>
    <t>Fútbol / Música</t>
  </si>
  <si>
    <t>Fútbol, Música, Bebidas, Streaming, Entretenimiento</t>
  </si>
  <si>
    <t>Podcast / Video</t>
  </si>
  <si>
    <t>Ver Tarifario Maestro 2026 — histórico capturado, no vigente</t>
  </si>
  <si>
    <t>PILOTO — FASE 1. Tarifario histórico previo al Mundial capturado el 2-ago-2026. Incluye canales propios de Padigol y canales del Podcast de Padilla como inventarios separados. Falta incorporar Crónicas de Música y validar tarifas actuales antes de cotizar.</t>
  </si>
  <si>
    <t>Edgar Cháirez</t>
  </si>
  <si>
    <t>Bebidas, Apuestas, Sportswear, Fitness</t>
  </si>
  <si>
    <t>Caso por caso — agregar al Tarifario Maestro</t>
  </si>
  <si>
    <t>Talento histórico de Chuy</t>
  </si>
  <si>
    <t>Deal Emergent AI cerrado</t>
  </si>
  <si>
    <t>Amazon: 3 campañas cerradas</t>
  </si>
  <si>
    <t>Tiene 350 mil seguidores. Reel IG actualizado a $50,000; Story a $15,000; la fijación se entiende específicamente como publicación fijada durante 7 días. No aplica masterclass. Puede venderse individualmente o como paquete familiar con Tejón; el paquete conjunto se cotiza caso por caso. Fuente: definición interna Chuy, 31-jul-2026. Pendiente aprobación de Ramiro.</t>
  </si>
  <si>
    <t>Actual campeón mundial de calistenia. Tarifas base comprobadas en Tabulador HONOR: TikTok $30,000; Reel IG $60,000; TikTok + Reel espejo $80,000; Story $25,000. El resto son propuestas internas aceptadas por Chuy y pendientes de aprobación de Ramiro. Reel Collab permanece pendiente para no confundirlo con TikTok + réplica espejo en Reel. Fuente: Tabulador HONOR + definición interna Chuy, 31-jul-2026.</t>
  </si>
  <si>
    <t>Colombia</t>
  </si>
  <si>
    <t>Por validar</t>
  </si>
  <si>
    <t>YouTube Live es su plataforma principal para streaming. Twitch y Kick quedan como plataformas disponibles sin tarifa automática; se cotizan caso por caso. Reel IG corregido a $50,000 MXN y Reel Collab a $60,000 MXN. Podcast: referencia mensual de $150,000 MXN, sujeta a formato, número de episodios e integración. Fuente: definición interna Chuy, 31-jul-2026. Propuesta interna pendiente de aprobación de Ramiro.</t>
  </si>
  <si>
    <t>HBO negociando 2 TikToks $180k</t>
  </si>
  <si>
    <t>Top podcast de fútbol; formato audio+video, cruce natural con Mar Coronel y patrocinios de apuestas</t>
  </si>
  <si>
    <t>Gaming y entretenimiento; opción para torneos, apariciones y experiencias. YouTube disponible: video dedicado, integración dentro de video y YouTube Short; tarifas pendientes de definir. Mantener como propuesta interna hasta aprobación.</t>
  </si>
  <si>
    <t>Sin precio aprobado</t>
  </si>
  <si>
    <t>Por definir con Chuy</t>
  </si>
  <si>
    <t>Definir unitarios antes de ofrecer.</t>
  </si>
  <si>
    <t>Agregar al roster comercial de Chuy. YouTube es una de sus plataformas fuertes. No inventar tarifas; definir video dedicado, integración y Short antes de presentar. Fuente: definición interna Chuy, 31-jul-2026. Pendiente aprobación interna.</t>
  </si>
  <si>
    <t>Definir categoría y handles al validar.</t>
  </si>
  <si>
    <t>Kick es su plataforma principal de streaming. Tarifas base de contenido tomadas del tabulador HONOR; complementos definidos internamente por Chuy. Pendiente aprobación de Ramiro.</t>
  </si>
  <si>
    <t>Se mantiene en el roster comercial de Chuy. Tiene inventario potencial en Twitch y/o Kick; confirmar plataforma principal, formatos y tarifas antes de presentar a cliente. No inventar precios. Fuente: instrucción interna Chuy, 31-jul-2026.</t>
  </si>
  <si>
    <t>Más viáticos internacionales cuando aplique.</t>
  </si>
  <si>
    <t>Talento operable en Honduras; sujeto a validación de métricas y relación.</t>
  </si>
  <si>
    <t>Honduras</t>
  </si>
  <si>
    <t>Talento operable en Costa Rica; sujeto a validación de métricas y relación.</t>
  </si>
  <si>
    <t>Costa Rica</t>
  </si>
  <si>
    <t>Talento operable en Panamá; sujeto a validación de métricas y relación.</t>
  </si>
  <si>
    <t>Panamá</t>
  </si>
  <si>
    <t>Perfil operable para viajes, pareja, lifestyle y experiencias de destino.</t>
  </si>
  <si>
    <t>Definir tarifas unitarias y paquete con Diana por separado.</t>
  </si>
  <si>
    <t>México</t>
  </si>
  <si>
    <t>Perfil individual y participación posible en dupla con Chuy Alma.</t>
  </si>
  <si>
    <t>Definir tarifas individuales y precio especial en dupla.</t>
  </si>
  <si>
    <t>Perfil operable para contenido de viaje, lifestyle y experiencias.</t>
  </si>
  <si>
    <t>Referencia histórica / validar</t>
  </si>
  <si>
    <t>CRM KIF histórico · julio 2026</t>
  </si>
  <si>
    <t>Referencia histórica: TikTok 40k, Reel 30k, Story 15k. Presencia histórica 25k. No usar sin validar vigencia.</t>
  </si>
  <si>
    <t>Manejar como una sola unidad comercial Kike Padilla / Rookie Leagues por ahora. YouTube y activación ajustados a una base más accesible. Plataformas secundarias disponibles; cotización específica según formato. Fuente: definición interna Chuy, 31-jul-2026.</t>
  </si>
  <si>
    <t>Bebidas, Apuestas, Sportswear, Streaming (historia sin contar)</t>
  </si>
  <si>
    <t>Caso por caso | Presencia de marca en short de pelea: $750,000 MXN por combate</t>
  </si>
  <si>
    <t>MMA / UFC — Mediático</t>
  </si>
  <si>
    <t>Atleta de alto rendimiento. Contenido digital, presencia en eventos, patrocinios deportivos, campamento, ropa y activaciones se cotizan caso por caso según marca, alcance, evento, derechos, exclusividad y disponibilidad. Fuente: definición interna Chuy, 31-jul-2026. Pendiente aprobación de Ramiro.</t>
  </si>
  <si>
    <t>TikTok 150,000 | Reel IG 130,000 | TikTok + réplica espejo en Reel 225,000 | Reel Collab 180,000 | Post fijo IG 100,000 | Story 40,000 | Fijación 7 días 20,000 | Presencia 120,000 | Exclusividad mensual 50,000 | Stream 75,000 | Podcast N/A | Masterclass/experiencia 150,000 | Fee base por pelear 450,000 | TikTok audio musical pendiente</t>
  </si>
  <si>
    <t>Box</t>
  </si>
  <si>
    <t>Twitch</t>
  </si>
  <si>
    <t>TikTok 90,000 | Reel IG 130,000 | Reel Collab 150,000 | Post fijo IG 80,000 | Story 40,000 | Publicación fijada durante 7 días 15,000 | Presencia 100,000 | Exclusividad mensual 40,000 | Stream en Twitch 50,000 | Podcast N/A | Masterclass/experiencia 150,000 | Fee base por pelear 250,000</t>
  </si>
  <si>
    <t>Box — Promesa (12 años)</t>
  </si>
  <si>
    <t>TikTok 100,000 | Reel IG 150,000 | Reel Collab 180,000 | Post fijo IG 80,000 | Story 40,000 | Fijación 7 días 15,000 | Presencia 100,000 | Exclusividad mensual 40,000 | Stream 50,000 | Podcast N/A | Masterclass/experiencia 150,000 | Peleas desde 50,000</t>
  </si>
  <si>
    <t>Fútbol — Up &amp; coming / Tipster</t>
  </si>
  <si>
    <t>Apuestas &amp; Fantasy, Financiero, Snacks, Telcos</t>
  </si>
  <si>
    <t>Especializada en pronósticos/tips. Perfil ideal casas de apuestas.</t>
  </si>
  <si>
    <t>Gaming — #1 Rocket League</t>
  </si>
  <si>
    <t>Gaming, Tech &amp; Telecom, Automotriz, Energy</t>
  </si>
  <si>
    <t>Twitch | YouTube</t>
  </si>
  <si>
    <t>TikTok 70,000 | Reel IG 40,000 | Reel Collab 35,000 | Post fijo IG 30,000 | Story 15,000 | Publicación fijada durante 7 días 10,000 | Presencia en evento 80,000 | Exclusividad mensual 25,000 | Stream en Twitch para evento 60,000 | Stream dedicado en Twitch para marca 120,000 por hora | Integración de marca en stream caso por caso | Podcast N/A | Masterclass/experiencia 100,000 | YouTube pendiente</t>
  </si>
  <si>
    <t>Música</t>
  </si>
  <si>
    <t>TikTok 30,000 | Reel IG 70,000 | Reel Collab 100,000 | Post fijo IG 50,000 | Story 30,000 | Publicación fijada durante 7 días 20,000 | Hosteo 80,000 | Stream en Kick para evento 50,000 | Podcast mensual 150,000 por 4 capítulos | Masterclass N/A | Exclusividad mensual 60,000 | YouTube pendiente</t>
  </si>
  <si>
    <t>Fitness / Lifestyle — Up &amp; coming</t>
  </si>
  <si>
    <t>Belleza &amp; Wellness, Sportswear, Apps, Healthy food</t>
  </si>
  <si>
    <t>Juan de Dios G</t>
  </si>
  <si>
    <t>Storytime/Vlogging — Macro</t>
  </si>
  <si>
    <t>KIF (red comercial)</t>
  </si>
  <si>
    <t>TikTok 200,000 | Reel IG 160,000 | TikTok + réplica espejo en Reel 240,000 | Post fijo IG 100,000 | Story 60,000 | Publicación fijada durante 7 días 25,000 | Presencia en evento 150,000 | Exclusividad mensual 75,000 | Promoción de audio musical en TikTok pendiente</t>
  </si>
  <si>
    <t>Javetas</t>
  </si>
  <si>
    <t>Fútbol/Vlogging — Macro</t>
  </si>
  <si>
    <t>@javetasenelarco</t>
  </si>
  <si>
    <t>Fútbol — Macro top</t>
  </si>
  <si>
    <t>Fútbol, Bebidas, Sportswear</t>
  </si>
  <si>
    <t>@mercedes_roa</t>
  </si>
  <si>
    <t>Yoz Gless</t>
  </si>
  <si>
    <t>Fútbol femenil</t>
  </si>
  <si>
    <t>Fútbol, Apuestas</t>
  </si>
  <si>
    <t>@yoz_gless_</t>
  </si>
  <si>
    <t>Nikkole Teja</t>
  </si>
  <si>
    <t>@nikkoleteja_</t>
  </si>
  <si>
    <t>Canelo Angulo</t>
  </si>
  <si>
    <t>Fútbol / ex-jugador</t>
  </si>
  <si>
    <t>Fútbol, Apuestas (tipster)</t>
  </si>
  <si>
    <t>@jrangulo19</t>
  </si>
  <si>
    <t>Cliente TipsterPages y eBay; DT All Stars</t>
  </si>
  <si>
    <t>Fútbol-creator</t>
  </si>
  <si>
    <t>TikTok 100,000 | Reel IG 70,000 | TikTok + réplica espejo en Reel 140,000 | Reel Collab 85,000 | Post fijo IG 80,000 | Story 25,000 | Publicación fijada durante 7 días 10,000 | Presencia en evento 60,000 | Hosteo desde 30,000 | Exclusividad mensual 30,000 | TikTok audio musical pendiente | Podcast N/A | Masterclass/experiencia N/A | Stream N/A</t>
  </si>
  <si>
    <t>Ian Granados</t>
  </si>
  <si>
    <t>Fútbol, Familia</t>
  </si>
  <si>
    <t>@ian.granados1</t>
  </si>
  <si>
    <t>Mariana Grimaldi</t>
  </si>
  <si>
    <t>Comedy/Lifestyle — Macro</t>
  </si>
  <si>
    <t>Lifestyle, Bebidas, Beauty</t>
  </si>
  <si>
    <t>@marianagrimaldi__</t>
  </si>
  <si>
    <t>Kozue</t>
  </si>
  <si>
    <t>Lifestyle/Entretenimiento — Macro</t>
  </si>
  <si>
    <t>Lifestyle, Tech</t>
  </si>
  <si>
    <t>@kozuehayashii</t>
  </si>
  <si>
    <t>Camila Sánchez</t>
  </si>
  <si>
    <t>TikTok/Lifestyle</t>
  </si>
  <si>
    <t>Lifestyle, Beauty</t>
  </si>
  <si>
    <t>@camilasanchhez</t>
  </si>
  <si>
    <t>Luisito Rey</t>
  </si>
  <si>
    <t>Comedy/Sketch</t>
  </si>
  <si>
    <t>Entretenimiento, Alimentos</t>
  </si>
  <si>
    <t>@luisitorey</t>
  </si>
  <si>
    <t>Soy Mirrey Bro</t>
  </si>
  <si>
    <t>Luxury lifestyle — Macro</t>
  </si>
  <si>
    <t>Lifestyle, Bebidas premium</t>
  </si>
  <si>
    <t>@soymirreybro</t>
  </si>
  <si>
    <t>Edwin Mendoza</t>
  </si>
  <si>
    <t>Sports — Macro</t>
  </si>
  <si>
    <t>Fútbol, Sportswear</t>
  </si>
  <si>
    <t>@edwinmendozza</t>
  </si>
  <si>
    <t>Javier Rojo</t>
  </si>
  <si>
    <t>Sports/Gymnastics</t>
  </si>
  <si>
    <t>Fitness, Sportswear</t>
  </si>
  <si>
    <t>@javierrojomx</t>
  </si>
  <si>
    <t>Marurista</t>
  </si>
  <si>
    <t>Lifestyle — Macro</t>
  </si>
  <si>
    <t>@marurista</t>
  </si>
  <si>
    <t>Ana Fer Lemus</t>
  </si>
  <si>
    <t>Lifestyle, E-commerce</t>
  </si>
  <si>
    <t>@anafer.lemus</t>
  </si>
  <si>
    <t>Yetus Prime</t>
  </si>
  <si>
    <t>Entretenimiento — Macro</t>
  </si>
  <si>
    <t>Entretenimiento, Gaming</t>
  </si>
  <si>
    <t>@yetus_prime</t>
  </si>
  <si>
    <t>TikTok 25,000 | Reel IG 50,000 | Reel Collab 40,000 | Post fijo IG 20,000 | Story 15,000 | Publicación fijada durante 7 días 5,000 | Presencia 15,000 | Exclusividad mensual 10,000 | Stream 15,000 | Podcast N/A | Masterclass/experiencia N/A</t>
  </si>
  <si>
    <t>Calistenia / Fitness — Campeón mundial vigente</t>
  </si>
  <si>
    <t>TikTok 30,000 | TikTok + réplica espejo en Reel 80,000 | Reel IG 60,000 | Reel Collab pendiente | Post fijo IG 40,000 | Story 25,000 | Publicación fijada durante 7 días 10,000 | Presencia en evento 50,000 | Exclusividad mensual 25,000 | Stream en evento 40,000 | Stream dedicado para marca 80,000 por hora | Integración de marca en stream caso por caso | Podcast N/A | Masterclass/experiencia 80,000</t>
  </si>
  <si>
    <t>Ramón Villa</t>
  </si>
  <si>
    <t>@ramonvillazg</t>
  </si>
  <si>
    <t>Streamer #1 Fútbol</t>
  </si>
  <si>
    <t>Fútbol, Apuestas, Gaming, Streaming — Fórmula S (host)</t>
  </si>
  <si>
    <t>@mikemaquinadelmalshow</t>
  </si>
  <si>
    <t>YouTube Live | YouTube | Twitch | Kick</t>
  </si>
  <si>
    <t>TikTok 100,000 | Reel IG 50,000 | Reel Collab 60,000 | Post fijo IG 60,000 | Story 30,000 | Publicación fijada durante 7 días 15,000 | Presencia en evento 80,000 | Exclusividad mensual 40,000 | Stream dedicado en YouTube Live para marca 100,000 por hora | Integración dentro de live caso por caso | Podcast mensual 150,000 | Masterclass/experiencia 100,000 | Promoción de audio musical en TikTok pendiente</t>
  </si>
  <si>
    <t>Espe Borras</t>
  </si>
  <si>
    <t>Sports</t>
  </si>
  <si>
    <t>@espe</t>
  </si>
  <si>
    <t>Geryna Sotelo</t>
  </si>
  <si>
    <t>Fútbol, Streaming</t>
  </si>
  <si>
    <t>@GerynaSotelo</t>
  </si>
  <si>
    <t>Los Futbolitos</t>
  </si>
  <si>
    <t>Sports/Podcast — Macro</t>
  </si>
  <si>
    <t>Fútbol, Snacks</t>
  </si>
  <si>
    <t>@losfutbolitostv</t>
  </si>
  <si>
    <t>Podcast — Top Podcast Fútbol</t>
  </si>
  <si>
    <t>Fútbol, Apuestas, Bebidas, Streaming</t>
  </si>
  <si>
    <t>Gaming / Rocket League / Streaming</t>
  </si>
  <si>
    <t>YouTube / Entretenimiento / Lifestyle</t>
  </si>
  <si>
    <t>Entretenimiento, Lifestyle, Cultura, Marcas de consumo, Experiencias</t>
  </si>
  <si>
    <t>YouTube disponible: video dedicado | integración dentro de video | YouTube Short | Tarifas pendientes</t>
  </si>
  <si>
    <t>TikTok 25,000 | TikTok + réplica espejo en Reel 60,000 | Reel IG 40,000 | Reel Collab 35,000 | Post fijo IG 30,000 | Story 20,000 | Publicación fijada durante 7 días 10,000 | Presencia 50,000 | Exclusividad mensual 25,000 | Stream en Kick para evento 40,000 | Stream dedicado en Kick 70,000 por hora | Integración de marca en stream caso por caso | Podcast N/A | Masterclass/experiencia 100,000</t>
  </si>
  <si>
    <t>Twitch / Kick — confirmar plataforma principal</t>
  </si>
  <si>
    <t>Supremo</t>
  </si>
  <si>
    <t>Creator / Entretenimiento</t>
  </si>
  <si>
    <t>Lifestyle, Entretenimiento, Turismo, Bebidas</t>
  </si>
  <si>
    <t>KATANA — Network extranjero</t>
  </si>
  <si>
    <t>Keizy</t>
  </si>
  <si>
    <t>Rafe Lucado</t>
  </si>
  <si>
    <t>Chuy Alma</t>
  </si>
  <si>
    <t>Lifestyle / Pareja / Entretenimiento</t>
  </si>
  <si>
    <t>Turismo, Hotelería, Gastronomía, Lifestyle, Experiencias</t>
  </si>
  <si>
    <t>Diana</t>
  </si>
  <si>
    <t>Lifestyle / Pareja / Bienestar</t>
  </si>
  <si>
    <t>Turismo, Hotelería, Wellness, Gastronomía, Experiencias</t>
  </si>
  <si>
    <t>Lifestyle / Entretenimiento</t>
  </si>
  <si>
    <t>Lifestyle, Turismo, Entretenimiento, Bebidas, Tech</t>
  </si>
  <si>
    <t>Béisbol / Streaming / Experiencias deportivas</t>
  </si>
  <si>
    <t>TikTok 30,000 | Reel IG 40,000 | TikTok + réplica espejo en Reel 60,000 | Reel Collab 50,000 | Post fijo IG 30,000 | Story 15,000 | Publicación fijada durante 7 días 10,000 | Presencia/hosteo 60,000 | Stream para evento 50,000 | Stream dedicado para marca 60,000 por hora | Integración de marca en stream caso por caso | Video dedicado YouTube 40,000 | Integración YouTube 25,000 | YouTube Short 20,000 | Activación/experiencia de béisbol 60,000 | Exclusividad mensual 30,000 | TikTok audio musical pendiente</t>
  </si>
  <si>
    <t>Marca</t>
  </si>
  <si>
    <t>¿Relación previa?</t>
  </si>
  <si>
    <t>Por qué es target</t>
  </si>
  <si>
    <t>Talento que le pega</t>
  </si>
  <si>
    <t>Agencia que la maneja (si se sabe)</t>
  </si>
  <si>
    <t>Decision-maker (nombre)</t>
  </si>
  <si>
    <t>Fuente del dato</t>
  </si>
  <si>
    <t>Pasado a LEADS</t>
  </si>
  <si>
    <t>Sí - pasada</t>
  </si>
  <si>
    <t>Ya ha invertido con nosotros</t>
  </si>
  <si>
    <t>Relación Chuy</t>
  </si>
  <si>
    <t>No</t>
  </si>
  <si>
    <t>Honor</t>
  </si>
  <si>
    <t>Ya ha invertido con nosotros; gasta fuerte en creators MX</t>
  </si>
  <si>
    <t>Caliente</t>
  </si>
  <si>
    <t>Sí - activa</t>
  </si>
  <si>
    <t>Líder local; sin programa público de afiliados — entra por relación || Gambetiti CERRADO por firmar; Rivaldios 3 historias/mes; Luis Pride propuesta enviada. Contacto: Pony</t>
  </si>
  <si>
    <t>Scouting Claude</t>
  </si>
  <si>
    <t>Betano</t>
  </si>
  <si>
    <t>Crecimiento fuerte en la región, patrocinios Liga MX</t>
  </si>
  <si>
    <t>Playdoit</t>
  </si>
  <si>
    <t>Mencionada por Chuy como target</t>
  </si>
  <si>
    <t>Netflix</t>
  </si>
  <si>
    <t>Bahía Colorada #1 — historial con contenido</t>
  </si>
  <si>
    <t>Paramount</t>
  </si>
  <si>
    <t>Mencionada por Chuy</t>
  </si>
  <si>
    <t>Broadcast Fórmula S</t>
  </si>
  <si>
    <t>Relación</t>
  </si>
  <si>
    <t>Grupo Modelo (corporativo)</t>
  </si>
  <si>
    <t>Mayor anunciante cervecero MX; estrategia basada en creators, eventos masivos y cultura</t>
  </si>
  <si>
    <t>Felipe Ambra</t>
  </si>
  <si>
    <t>VP de Marketing</t>
  </si>
  <si>
    <t>Forbes MX, may 2026</t>
  </si>
  <si>
    <t>Ya invirtió con nosotros; marca top-6 más valiosa de MX (Kantar BrandZ)</t>
  </si>
  <si>
    <t>Gabriel Díaz</t>
  </si>
  <si>
    <t>Director de Cerveza Victoria</t>
  </si>
  <si>
    <t>Produ/Kantar, mar 2025 — confirmar en LinkedIn</t>
  </si>
  <si>
    <t>Corona</t>
  </si>
  <si>
    <t>Marca #1 más valiosa de MX; plataformas de música, deporte y entretenimiento</t>
  </si>
  <si>
    <t>Marcela Treviño / Yune Aranguren</t>
  </si>
  <si>
    <t>Directora de Corona / Directora Marcas Core (Corona y Victoria)</t>
  </si>
  <si>
    <t>Cerveza Modelo</t>
  </si>
  <si>
    <t>Top-3 marca más valiosa MX</t>
  </si>
  <si>
    <t>César Alcántara</t>
  </si>
  <si>
    <t>Director de Cerveza Modelo</t>
  </si>
  <si>
    <t>Grupo Modelo — Marcas Premium</t>
  </si>
  <si>
    <t>Pacífico, premium portfolio</t>
  </si>
  <si>
    <t>Mariana Cuellar</t>
  </si>
  <si>
    <t>Directora de Marcas Premium</t>
  </si>
  <si>
    <t>HEINEKEN México (corporativo)</t>
  </si>
  <si>
    <t>Tecate, Indio, Dos Equis, Bohemia; campañas digitales con influencers (Tecate 0.0: 106 piezas, 99% audiencia digital)</t>
  </si>
  <si>
    <t>LePub Mexico City (creativa de Tecate)</t>
  </si>
  <si>
    <t>Marta García</t>
  </si>
  <si>
    <t>Comunicado Heineken MX ~2024 — confirmar en LinkedIn</t>
  </si>
  <si>
    <t>HEINEKEN — Marcas Premium</t>
  </si>
  <si>
    <t>Heineken, Amstel Ultra (activaciones deporte: pádel, F1)</t>
  </si>
  <si>
    <t>Karla Patricia González Álvarez</t>
  </si>
  <si>
    <t>Milenio, dic 2024 — confirmar en LinkedIn</t>
  </si>
  <si>
    <t>HEINEKEN — Media</t>
  </si>
  <si>
    <t>Decide inversión en medios y digital de todo el portafolio</t>
  </si>
  <si>
    <t>Pablo Alfredo Rada</t>
  </si>
  <si>
    <t>Director de Media &amp; CDAU</t>
  </si>
  <si>
    <t>Tecate</t>
  </si>
  <si>
    <t>Marca más premiada de MX en Clio 2026; festival Pa'l Norte; combate/box es territorio histórico de Tecate</t>
  </si>
  <si>
    <t>LePub Mexico City</t>
  </si>
  <si>
    <t>Merca 2.0, abr 2026</t>
  </si>
  <si>
    <t>Indio</t>
  </si>
  <si>
    <t>Campañas de barrio/cultura urbana (Tanderos, Mexologia)</t>
  </si>
  <si>
    <t>Prensa Heineken 2025</t>
  </si>
  <si>
    <t>Honor México</t>
  </si>
  <si>
    <t>Ya invirtió con nosotros; muy activa en marketing MX || Deal en proceso con Rivaldios (contacto: Francisco); histórico con Katana</t>
  </si>
  <si>
    <t>Julio Meneses</t>
  </si>
  <si>
    <t>CMO / Director de Marketing México</t>
  </si>
  <si>
    <t>LinkedIn + Isopixel — confirmar vigencia</t>
  </si>
  <si>
    <t>Honor Latam</t>
  </si>
  <si>
    <t>Capa regional que aprueba presupuestos grandes</t>
  </si>
  <si>
    <t>Jesús Quintero</t>
  </si>
  <si>
    <t>Head de Marketing Latinoamérica</t>
  </si>
  <si>
    <t>El Financiero, oct 2024 — confirmar en LinkedIn</t>
  </si>
  <si>
    <t>Telcel</t>
  </si>
  <si>
    <t>COMPROBADO: patrocinó Supernova Strikers 2025 (10M+ viewers). Compra creator boxing MX || Propuesta anual CPA $3.25M enviada (31 talentos, modelo costo por acción)</t>
  </si>
  <si>
    <t>Merca 2.0, ago 2025</t>
  </si>
  <si>
    <t>Farmacias Similares</t>
  </si>
  <si>
    <t>COMPROBADO: patrocinó Supernova Strikers 2025</t>
  </si>
  <si>
    <t>DAZN</t>
  </si>
  <si>
    <t>COMPROBADO: transmitió Supernova; plataforma global de combate. Target para derechos FIERA</t>
  </si>
  <si>
    <t>Podimo</t>
  </si>
  <si>
    <t>COMPROBADO: patrocinó Supernova Strikers 2025; compra audio/creators</t>
  </si>
  <si>
    <t>Domino's Pizza</t>
  </si>
  <si>
    <t>COMPROBADO: patrocinó Supernova 2025; cliente de BrandMe</t>
  </si>
  <si>
    <t>BrandMe (influencer mkt)</t>
  </si>
  <si>
    <t>McCormick</t>
  </si>
  <si>
    <t>COMPROBADO: patrocinó Supernova 2025 Y repite en Génesis 2026. Fit natural con César (chef)</t>
  </si>
  <si>
    <t>Merca 2.0 + El Financiero</t>
  </si>
  <si>
    <t>Cinépolis</t>
  </si>
  <si>
    <t>COMPROBADO: patrocinó y transmitió Supernova en salas</t>
  </si>
  <si>
    <t>Sabritas (PepsiCo)</t>
  </si>
  <si>
    <t>COMPROBADO: zona patrocinada Supernova Génesis 2026</t>
  </si>
  <si>
    <t>El Financiero, dic 2025</t>
  </si>
  <si>
    <t>Elektra / Banco Azteca</t>
  </si>
  <si>
    <t>COMPROBADO: zonas patrocinadas Supernova Génesis 2026. Banca popular compra creators</t>
  </si>
  <si>
    <t>Mercado Libre</t>
  </si>
  <si>
    <t>COMPROBADO: zona patrocinada Supernova Génesis 2026; mayor anunciante e-commerce</t>
  </si>
  <si>
    <t>Miniso</t>
  </si>
  <si>
    <t>COMPROBADO: zona patrocinada Supernova Génesis 2026; audiencia joven/familiar</t>
  </si>
  <si>
    <t>Pepsi</t>
  </si>
  <si>
    <t>Toyota</t>
  </si>
  <si>
    <t>COMPROBADO: zona patrocinada Supernova Génesis 2026. Automotriz+gaming: fit Nene (Rocket League=coches)</t>
  </si>
  <si>
    <t>Mega (Megacable)</t>
  </si>
  <si>
    <t>Boing (Pascual)</t>
  </si>
  <si>
    <t>Tecate (box)</t>
  </si>
  <si>
    <t>DUEÑO histórico del territorio box MX: patrocina Canelo y box profesional ("Te hace falta ver más bax")</t>
  </si>
  <si>
    <t>InformaBTL + historial marca</t>
  </si>
  <si>
    <t>Under Armour</t>
  </si>
  <si>
    <t>COMPROBADO: patrocina Canelo desde 2012; deportes de contacto es su territorio</t>
  </si>
  <si>
    <t>Radio Fórmula, 2024</t>
  </si>
  <si>
    <t>Everlast</t>
  </si>
  <si>
    <t>COMPROBADO: patrocina Canelo; marca endémica de box, entrada natural para todo el pool</t>
  </si>
  <si>
    <t>Revista Clase, 2021</t>
  </si>
  <si>
    <t>Value Grupo Financiero</t>
  </si>
  <si>
    <t>COMPROBADO: patrocinador histórico de Canelo (calzoncillo en peleas)</t>
  </si>
  <si>
    <t>El Universal/Clase, 2019-24</t>
  </si>
  <si>
    <t>Broxel</t>
  </si>
  <si>
    <t>COMPROBADO: fintech mexicana patrocinadora de Canelo</t>
  </si>
  <si>
    <t>El Informador, may 2024</t>
  </si>
  <si>
    <t>Gatorade</t>
  </si>
  <si>
    <t>COMPROBADO: patrocinó peleas de Canelo; hidratación deportiva compra box</t>
  </si>
  <si>
    <t>Record, 2022</t>
  </si>
  <si>
    <t>Yaoca</t>
  </si>
  <si>
    <t>COMPROBADO: bebida hidratante mexicana que patrocina a Canelo; marca emergente accesible</t>
  </si>
  <si>
    <t>Radio Fórmula, 2023</t>
  </si>
  <si>
    <t>Revolut / neobancos MX (Nu, Klar, Stori)</t>
  </si>
  <si>
    <t>PATRÓN Velada V: fintech es patrocinador principal del formato. En MX: Nu, Klar, Stori compran creators</t>
  </si>
  <si>
    <t>Marketing4ecommerce, jul 2025</t>
  </si>
  <si>
    <t>CeraVe (L'Oréal)</t>
  </si>
  <si>
    <t>PATRÓN Velada V: skincare activó IN-RING (luchador CeraVestia). Grooming+combate funciona</t>
  </si>
  <si>
    <t>Ecommerce News, jul 2025</t>
  </si>
  <si>
    <t>Grefusa / snacks (Barcel, Sabritas)</t>
  </si>
  <si>
    <t>PATRÓN Velada: snacks es patrocinador veterano del formato en 5 ediciones</t>
  </si>
  <si>
    <t>Nothing / G-Shock (Casio)</t>
  </si>
  <si>
    <t>PATRÓN Velada V: smartphones retadores y relojes compran creator boxing</t>
  </si>
  <si>
    <t>Spotify</t>
  </si>
  <si>
    <t>PATRÓN Velada V: banda sonora oficial + playlists de peleadores. Fit Julio (música) + FIERA</t>
  </si>
  <si>
    <t>A Creative, jul 2025</t>
  </si>
  <si>
    <t>Banorte</t>
  </si>
  <si>
    <t>COMPROBADO: patrocinador Selección MX + naming Estadio Banorte. Máximo gasto en deporte</t>
  </si>
  <si>
    <t>Expansión, jun 2026</t>
  </si>
  <si>
    <t>AT&amp;T México</t>
  </si>
  <si>
    <t>COMPROBADO: patrocinador oficial Selección MX desde 2019</t>
  </si>
  <si>
    <t>Caliente (fútbol)</t>
  </si>
  <si>
    <t>COMPROBADO: patrocina Selección, varios clubes Liga MX y medios deportivos. Máximo actor betting-deporte || Misma cuenta activa (Pony) — consolidar con Caliente</t>
  </si>
  <si>
    <t>Amazon México</t>
  </si>
  <si>
    <t>COMPROBADO: patrocinador Selección + Liga MX + Femenil desde mar 2025 (100M aficionados) || 3 campañas cerradas con Ana Fer Lemus vía agencia VKNG</t>
  </si>
  <si>
    <t>Pedro Huerta (Country Manager, da contexto)</t>
  </si>
  <si>
    <t>Country Manager</t>
  </si>
  <si>
    <t>Milenio, mar 2025</t>
  </si>
  <si>
    <t>Coca-Cola México</t>
  </si>
  <si>
    <t>COMPROBADO: patrocinador histórico Selección MX; también patrocinó La Velada V || Deal CERRADO con Mercedes Roa (contacto: Mon Hernández)</t>
  </si>
  <si>
    <t>Milenio, jun 2026</t>
  </si>
  <si>
    <t>adidas México</t>
  </si>
  <si>
    <t>COMPROBADO: patrocinador técnico Selección MX; dueño del fútbol MX</t>
  </si>
  <si>
    <t>Grupo Grisi</t>
  </si>
  <si>
    <t>COMPROBADO: patrocinador Selección MX rumbo al Mundial</t>
  </si>
  <si>
    <t>Hyundai México</t>
  </si>
  <si>
    <t>COMPROBADO: patrocinador Mundial; CEO reporta conversión directa en ventas</t>
  </si>
  <si>
    <t>Edgar Carranza (CEO, contexto)</t>
  </si>
  <si>
    <t>CEO</t>
  </si>
  <si>
    <t>Maggi (Nestlé)</t>
  </si>
  <si>
    <t>COMPROBADO: patrocinador oficial Liga MX + Selección hasta dic 2026; mayor inversión de su historia en MX. Fit natural César (cocina)</t>
  </si>
  <si>
    <t>Mario López</t>
  </si>
  <si>
    <t>Group Marketing Manager Culinarios, Nestlé</t>
  </si>
  <si>
    <t>Nestlé/La Silla Rota, abr 2025</t>
  </si>
  <si>
    <t>Little Caesars</t>
  </si>
  <si>
    <t>COMPROBADO: patrocinador Selección (mayor, menores, femenil)</t>
  </si>
  <si>
    <t>Roberto Guzmán</t>
  </si>
  <si>
    <t>Director de Mercadotecnia</t>
  </si>
  <si>
    <t>Mediotiempo, feb 2024 — confirmar en LinkedIn</t>
  </si>
  <si>
    <t>Paramount+ / Paramount</t>
  </si>
  <si>
    <t>CONTACTO DIRECTO de Chuy. Compra contenido y talento; target derechos y co-producción FIERA</t>
  </si>
  <si>
    <t>(contacto de Chuy)</t>
  </si>
  <si>
    <t>ESPN / Disney+</t>
  </si>
  <si>
    <t>CONTACTO DIRECTO. Historial: All Stars MX en Disney+/ESPN (160K concurrentes) + broadcast Fórmula S</t>
  </si>
  <si>
    <t>Max (HBO)</t>
  </si>
  <si>
    <t>Historial: Ugly #1 HBO. Target contenido/documental (ángulo Divino) || Negociando: Geryna Sotelo, 2 TikToks $180k (contacto: Sofía Hernández)</t>
  </si>
  <si>
    <t>Prime Video / Amazon Music</t>
  </si>
  <si>
    <t>Amazon ya patrocina FMF/Liga MX; Prime compra deporte en vivo y música (Edén Muñoz exclusivo Amazon Music)</t>
  </si>
  <si>
    <t>Plataforma madre del formato velada (récord 9-10M concurrentes). Target partnership FIERA</t>
  </si>
  <si>
    <t>TikTok</t>
  </si>
  <si>
    <t>Broadcast Fórmula S; compra contenido en vivo LATAM</t>
  </si>
  <si>
    <t>Red Bull México</t>
  </si>
  <si>
    <t>Dueño global del territorio deporte extremo + gaming + creators; produce sus propios eventos</t>
  </si>
  <si>
    <t>Historial de marca</t>
  </si>
  <si>
    <t>Monster Energy</t>
  </si>
  <si>
    <t>Patrocinador oficial de UFC (lona del octágono); compra MMA y combate a nivel global</t>
  </si>
  <si>
    <t>Historial de marca UFC</t>
  </si>
  <si>
    <t>Rocket League / Epic Games</t>
  </si>
  <si>
    <t>Nene es #1 en Rocket League: target de programa de creators y torneos oficiales</t>
  </si>
  <si>
    <t>Contexto Chuy</t>
  </si>
  <si>
    <t>HyperX / Logitech G / Razer</t>
  </si>
  <si>
    <t>Periféricos: categoría endémica gaming, deals de mid-budget rápidos</t>
  </si>
  <si>
    <t>Categoría endémica</t>
  </si>
  <si>
    <t>Samsung México</t>
  </si>
  <si>
    <t>Top anunciante tech MX; cliente de BWE (puerta indirecta)</t>
  </si>
  <si>
    <t>BWE Agency</t>
  </si>
  <si>
    <t>Branch Agencia, oct 2025</t>
  </si>
  <si>
    <t>Motorola / Xiaomi México</t>
  </si>
  <si>
    <t>Retadores de volumen en smartphones; compran creators para lanzamientos</t>
  </si>
  <si>
    <t>Nu México / Klar / Stori</t>
  </si>
  <si>
    <t>Neobancos en guerra de adquisición de usuarios; el patrón Velada (Revolut) aplica directo</t>
  </si>
  <si>
    <t>Patrón categoría</t>
  </si>
  <si>
    <t>Stake</t>
  </si>
  <si>
    <t>Propuesta en HOLD: 8 historias + stream 1.5h (Nene, Ronny, Luis, Pamela, Rookie Leagues). Contacto: Carlos Vives</t>
  </si>
  <si>
    <t>Carlos Vives</t>
  </si>
  <si>
    <t>Contacto comercial</t>
  </si>
  <si>
    <t>Tabulador Katana — VERIFICAR estatus</t>
  </si>
  <si>
    <t>Sí</t>
  </si>
  <si>
    <t>1win</t>
  </si>
  <si>
    <t>CERRADO: 3 stories con Mariel, Luis Pride, Ronaldo. Contacto: Leonardo Machado</t>
  </si>
  <si>
    <t>Leonardo Machado</t>
  </si>
  <si>
    <t>Tabulador — VERIFICAR</t>
  </si>
  <si>
    <t>Micasino</t>
  </si>
  <si>
    <t>Deals cerrados/finalizados (Luis Pride, Kike Padilla) — BUSCAR RENOVACIÓN</t>
  </si>
  <si>
    <t>Adriani Romero / Leomearys</t>
  </si>
  <si>
    <t>Bet Master</t>
  </si>
  <si>
    <t>ALWAYS-ON mensual con Nikkole Teja. Contacto: Alexis</t>
  </si>
  <si>
    <t>Alexis</t>
  </si>
  <si>
    <t>Yowin</t>
  </si>
  <si>
    <t>En hold — proponer otros talentos. Contacto: Inna</t>
  </si>
  <si>
    <t>Inna</t>
  </si>
  <si>
    <t>TipsterPages</t>
  </si>
  <si>
    <t>Cotizado: Canelo Angulo, Nene, Juan de Dios. Cliente natural para Mar Coronel (tipster)</t>
  </si>
  <si>
    <t>Huawei</t>
  </si>
  <si>
    <t>Deal FINALIZADO con Luis Pride — BUSCAR RENOVACIÓN. Contacto: Karina</t>
  </si>
  <si>
    <t>Karina</t>
  </si>
  <si>
    <t>X Gear</t>
  </si>
  <si>
    <t>Cerrados: Mercedes Roa (1 TikTok pendiente) y Luis Pride (contenido pendiente). Contacto: Viridiana</t>
  </si>
  <si>
    <t>Viridiana</t>
  </si>
  <si>
    <t>Aromante</t>
  </si>
  <si>
    <t>Cerrados: Juan de Dios + Selección (3 partidos). Contacto: Josué Suárez</t>
  </si>
  <si>
    <t>Josué Suárez</t>
  </si>
  <si>
    <t>Viuda de Romero (tequila)</t>
  </si>
  <si>
    <t>Mega-propuesta embajadores 9 meses enviada ($4M por talento top) vía The Music Business Company (Jessica Sastre)</t>
  </si>
  <si>
    <t>The Music Business Company</t>
  </si>
  <si>
    <t>Jessica Sastre</t>
  </si>
  <si>
    <t>Contacto</t>
  </si>
  <si>
    <t>Rexona (Unilever)</t>
  </si>
  <si>
    <t>Propuesta embajadores 9 meses vía THNKY (Juan Prat): Rivaldios/Javetas/JuanDeDios</t>
  </si>
  <si>
    <t>THNKY</t>
  </si>
  <si>
    <t>Juan Prat</t>
  </si>
  <si>
    <t>Contacto agencia</t>
  </si>
  <si>
    <t>Barcel / Takis</t>
  </si>
  <si>
    <t>Cotizaciones enviadas (Takis Hexa, Hot Nuts x Pal Norte vía MUNDUM)</t>
  </si>
  <si>
    <t>MUNDUM (Sebastián Vera)</t>
  </si>
  <si>
    <t>Burger King</t>
  </si>
  <si>
    <t>Cotizado vía The Campaign Co (Yamileth Morales)</t>
  </si>
  <si>
    <t>The Campaign Co</t>
  </si>
  <si>
    <t>Yamileth Morales</t>
  </si>
  <si>
    <t>Temu</t>
  </si>
  <si>
    <t>Cotización multi-talento enviada</t>
  </si>
  <si>
    <t>eBay</t>
  </si>
  <si>
    <t>Cotizado: Canelo Angulo, Nene ($116k con IVA), Juan de Dios</t>
  </si>
  <si>
    <t>Supernova (evento)</t>
  </si>
  <si>
    <t>Deal CERRADO con Yoz Gless — relación directa con el ecosistema competidor/aliado</t>
  </si>
  <si>
    <t>Warner</t>
  </si>
  <si>
    <t>Agencia</t>
  </si>
  <si>
    <t>Marcas que maneja</t>
  </si>
  <si>
    <t>Contacto clave</t>
  </si>
  <si>
    <t>Tecate (Heineken) — 20 medallas Clio 2026</t>
  </si>
  <si>
    <t>La agencia creativa más premiada de MX 2026. Puerta a Tecate.</t>
  </si>
  <si>
    <t>BrandMe</t>
  </si>
  <si>
    <t>Disney, Jüsto, eBay, P&amp;G, Domino's</t>
  </si>
  <si>
    <t>CDMX (Condesa)</t>
  </si>
  <si>
    <t>Pionera en influencer mkt MX; plataforma + servicio 360.</t>
  </si>
  <si>
    <t>Gamol</t>
  </si>
  <si>
    <t>Varios; "Best Influencer Agency" Fortune 2018-19</t>
  </si>
  <si>
    <t>Metodología de selección de talento; posible aliado o competencia.</t>
  </si>
  <si>
    <t>Dinametra</t>
  </si>
  <si>
    <t>Red de 35,000+ influencers</t>
  </si>
  <si>
    <t>Orientada a performance; YouTube/TikTok/Twitch.</t>
  </si>
  <si>
    <t>INPULSE Digital</t>
  </si>
  <si>
    <t>Entretenimiento y música (LATAM/US)</t>
  </si>
  <si>
    <t>CDMX / Miami</t>
  </si>
  <si>
    <t>Data + narrativa visual; fuerte en entertainment.</t>
  </si>
  <si>
    <t>Rappi, Coca-Cola, Samsung</t>
  </si>
  <si>
    <t>Puerta indirecta a Samsung y Coca-Cola.</t>
  </si>
  <si>
    <t>SUBE</t>
  </si>
  <si>
    <t>Retail, automotriz, turismo, fintech, APUESTAS</t>
  </si>
  <si>
    <t>CDMX / Miami / Dallas</t>
  </si>
  <si>
    <t>Trabaja vertical de apuestas — cruce directo con pool combate y Mar Coronel.</t>
  </si>
  <si>
    <t>another</t>
  </si>
  <si>
    <t>Comunicación estratégica + influencer + PR</t>
  </si>
  <si>
    <t>Una de las más grandes de PR/comms en MX; mueve presupuestos de marcas premium.</t>
  </si>
  <si>
    <t>GREY México</t>
  </si>
  <si>
    <t>Varios (5 medallas Clio 2026)</t>
  </si>
  <si>
    <t>Wieden+Kennedy México</t>
  </si>
  <si>
    <t>Marcas globales (3 medallas Clio 2026)</t>
  </si>
  <si>
    <t>Agencia de Nike a nivel global.</t>
  </si>
  <si>
    <t>DAVID The Agency</t>
  </si>
  <si>
    <t>4 medallas Clio 2026</t>
  </si>
  <si>
    <t>VML México</t>
  </si>
  <si>
    <t>Red global; múltiples cuentas de consumo</t>
  </si>
  <si>
    <t>GroupM (Mindshare / Wavemaker / EssenceMediacom)</t>
  </si>
  <si>
    <t>Red WPP: maneja media de anunciantes top globales en MX</t>
  </si>
  <si>
    <t>La red de medios más grande del mundo; sus planners deciden presupuestos de influencer/branded content.</t>
  </si>
  <si>
    <t>OMD / PHD (Omnicom Media Group)</t>
  </si>
  <si>
    <t>Anunciantes globales de consumo</t>
  </si>
  <si>
    <t>Starcom / Zenith (Publicis Media)</t>
  </si>
  <si>
    <t>Anunciantes globales</t>
  </si>
  <si>
    <t>UM / Initiative (IPG Mediabrands)</t>
  </si>
  <si>
    <t>Havas Media</t>
  </si>
  <si>
    <t>Anunciantes globales y regionales</t>
  </si>
  <si>
    <t>Carat / iProspect (dentsu)</t>
  </si>
  <si>
    <t>McCann México</t>
  </si>
  <si>
    <t>Cuentas globales de consumo</t>
  </si>
  <si>
    <t>Dulce Torres</t>
  </si>
  <si>
    <t>Cliente activo: cotizaciones Solural y roster. VERIFICAR estatus.</t>
  </si>
  <si>
    <t>Ogilvy México</t>
  </si>
  <si>
    <t>Cuentas globales (1 medalla Clio 2026)</t>
  </si>
  <si>
    <t>BBDO México</t>
  </si>
  <si>
    <t>DDB México</t>
  </si>
  <si>
    <t>Cuentas globales</t>
  </si>
  <si>
    <t>Leo Burnett México</t>
  </si>
  <si>
    <t>TBWA\Terán</t>
  </si>
  <si>
    <t>Cuentas globales y locales</t>
  </si>
  <si>
    <t>Histórica de MX.</t>
  </si>
  <si>
    <t>Circus Marketing</t>
  </si>
  <si>
    <t>Marcas de consumo y tech en LATAM</t>
  </si>
  <si>
    <t>Independiente fuerte en LATAM, cultura digital.</t>
  </si>
  <si>
    <t>Anónimo</t>
  </si>
  <si>
    <t>Marcas MX</t>
  </si>
  <si>
    <t>Independiente premiada.</t>
  </si>
  <si>
    <t>Archer Troy</t>
  </si>
  <si>
    <t>2 medallas Clio 2026</t>
  </si>
  <si>
    <t>GUT México</t>
  </si>
  <si>
    <t>Independiente top LATAM.</t>
  </si>
  <si>
    <t>Brands&amp;People</t>
  </si>
  <si>
    <t>MTY/CDMX</t>
  </si>
  <si>
    <t>Boxer TTL</t>
  </si>
  <si>
    <t>3 medallas Clio 2026</t>
  </si>
  <si>
    <t>MADE México</t>
  </si>
  <si>
    <t>1 medalla Clio 2026</t>
  </si>
  <si>
    <t>Band of Insiders</t>
  </si>
  <si>
    <t>PR digital, tech y entretenimiento MX</t>
  </si>
  <si>
    <t>Kenia Mendiola</t>
  </si>
  <si>
    <t>YA TRABAJAMOS: campaña Tecate 0.0 cotizada mayo 2024. Puerta directa a Heineken.</t>
  </si>
  <si>
    <t>MUNDUM</t>
  </si>
  <si>
    <t>Barcel (Hot Nuts x Pal Norte)</t>
  </si>
  <si>
    <t>Sebastián Vera</t>
  </si>
  <si>
    <t>Cotización marzo 2024 — VERIFICAR</t>
  </si>
  <si>
    <t>VKNG</t>
  </si>
  <si>
    <t>Amazon</t>
  </si>
  <si>
    <t>3 campañas Ana Fer Lemus vía VKNG</t>
  </si>
  <si>
    <t>Propuesta embajadores 2024 — VERIFICAR</t>
  </si>
  <si>
    <t>Viuda de Romero</t>
  </si>
  <si>
    <t>Mega-propuesta 2024 — VERIFICAR</t>
  </si>
  <si>
    <t>Latinfluence</t>
  </si>
  <si>
    <t>Filmora</t>
  </si>
  <si>
    <t>Deal histórico (era Luisito Rey)</t>
  </si>
  <si>
    <t>FCO Group (Afluency)</t>
  </si>
  <si>
    <t>Powerade</t>
  </si>
  <si>
    <t>Propuesta enviada: Mariel Estrella para Powerade, $130,000 MXN. Julio 2026.</t>
  </si>
  <si>
    <t>Padrinito</t>
  </si>
  <si>
    <t>Canal MX</t>
  </si>
  <si>
    <t>Nickname</t>
  </si>
  <si>
    <t>Campaña de audio activa vía Ramiro: Wereverwero y Mike Máquina del Mal cerrados; Mercedes Roa y Marcela en proceso. Julio 2026.</t>
  </si>
  <si>
    <t>Nombre completo</t>
  </si>
  <si>
    <t>Rol/Posición</t>
  </si>
  <si>
    <t>Origen</t>
  </si>
  <si>
    <t>Estatus con Katana</t>
  </si>
  <si>
    <t>Potencial</t>
  </si>
  <si>
    <t>GAMBETITI</t>
  </si>
  <si>
    <t>Fernando Alberto Valle Rios</t>
  </si>
  <si>
    <t>MC</t>
  </si>
  <si>
    <t>Culiacán</t>
  </si>
  <si>
    <t>Activo (adeudo pendiente)</t>
  </si>
  <si>
    <t>En gestión comercial con Steph/Ramiro; resolver adeudo</t>
  </si>
  <si>
    <t>LUISPRIDE</t>
  </si>
  <si>
    <t>Luis Aldo Escudero Romero</t>
  </si>
  <si>
    <t>Roster casa</t>
  </si>
  <si>
    <t>Combate MMA</t>
  </si>
  <si>
    <t>Peleó en Supernova Strikers 2025 (vs Shelao)</t>
  </si>
  <si>
    <t>RIVALDO</t>
  </si>
  <si>
    <t>Rivaldo Reatiga Ojeda</t>
  </si>
  <si>
    <t>DC</t>
  </si>
  <si>
    <t>Ex-talento (disputa/settlement)</t>
  </si>
  <si>
    <t>Obligación 140k/mes; con DW agency</t>
  </si>
  <si>
    <t>RONNY</t>
  </si>
  <si>
    <t>Ronaldo Taffarel Lopez Alonzo</t>
  </si>
  <si>
    <t>DFD</t>
  </si>
  <si>
    <t>Combate Box</t>
  </si>
  <si>
    <t>NENE</t>
  </si>
  <si>
    <t>Gaming #1 Rocket League</t>
  </si>
  <si>
    <t>Cuenta activa</t>
  </si>
  <si>
    <t>ES EL DAVO</t>
  </si>
  <si>
    <t>MC Davo</t>
  </si>
  <si>
    <t>Red All Stars</t>
  </si>
  <si>
    <t>Música/creator</t>
  </si>
  <si>
    <t>EDUIN</t>
  </si>
  <si>
    <t>Eduin Caz</t>
  </si>
  <si>
    <t>Música (Grupo Firme)</t>
  </si>
  <si>
    <t>Alto perfil</t>
  </si>
  <si>
    <t>LUIS R</t>
  </si>
  <si>
    <t>Luis R. Conriquez</t>
  </si>
  <si>
    <t>Música regional</t>
  </si>
  <si>
    <t>MALILLA</t>
  </si>
  <si>
    <t>El Malilla</t>
  </si>
  <si>
    <t>Música urbana</t>
  </si>
  <si>
    <t>YETUS</t>
  </si>
  <si>
    <t>Yetus</t>
  </si>
  <si>
    <t>Creator</t>
  </si>
  <si>
    <t>GRANADOS</t>
  </si>
  <si>
    <t>Ian Alejandro Granados Monteagudo</t>
  </si>
  <si>
    <t>DFC</t>
  </si>
  <si>
    <t>ROMAGOL</t>
  </si>
  <si>
    <t>Oscar Romario García Reyes</t>
  </si>
  <si>
    <t>DI</t>
  </si>
  <si>
    <t>FRANK H</t>
  </si>
  <si>
    <t>Jorge Francisco Espinoza Herrera</t>
  </si>
  <si>
    <t>MI</t>
  </si>
  <si>
    <t>GABO</t>
  </si>
  <si>
    <t>Gabriel Montiel Gutierrez</t>
  </si>
  <si>
    <t>Creator (Werevertumorro crew)</t>
  </si>
  <si>
    <t>ALEMAN</t>
  </si>
  <si>
    <t>Erick Raúl Aleman Ramírez</t>
  </si>
  <si>
    <t>Música (Alemán)</t>
  </si>
  <si>
    <t>Cantó en Supernova 2025</t>
  </si>
  <si>
    <t>TASUKINHO</t>
  </si>
  <si>
    <t>Fernando Tasuko Sato Ramos</t>
  </si>
  <si>
    <t>CANELO ANGULO</t>
  </si>
  <si>
    <t>DT</t>
  </si>
  <si>
    <t>DT de All Stars</t>
  </si>
  <si>
    <t>MENDOZA</t>
  </si>
  <si>
    <t>Edwin Anuhar Mendoza Frias</t>
  </si>
  <si>
    <t>DD</t>
  </si>
  <si>
    <t>Monterrey</t>
  </si>
  <si>
    <t>GERA</t>
  </si>
  <si>
    <t>Gerardo Daniel Torres Montante</t>
  </si>
  <si>
    <t>MURGA RIOS</t>
  </si>
  <si>
    <t>Hugo Eduardo Murga Rios</t>
  </si>
  <si>
    <t>POR</t>
  </si>
  <si>
    <t>CHEYMAR</t>
  </si>
  <si>
    <t>Israel Gabriel Rivera</t>
  </si>
  <si>
    <t>MCD</t>
  </si>
  <si>
    <t>FIGURÓN</t>
  </si>
  <si>
    <t>Jesus Eduardo Elizondo Gutierrez</t>
  </si>
  <si>
    <t>M.CELIS</t>
  </si>
  <si>
    <t>Manuel Francisco Celis Osuna</t>
  </si>
  <si>
    <t>E</t>
  </si>
  <si>
    <t>MB</t>
  </si>
  <si>
    <t>Manuel Bernal García</t>
  </si>
  <si>
    <t>D</t>
  </si>
  <si>
    <t>FT LEONEL</t>
  </si>
  <si>
    <t>Juan Leonel Ramirez Hernandez</t>
  </si>
  <si>
    <t>AARON</t>
  </si>
  <si>
    <t>Aaron Antonio Bojorquez Beltran</t>
  </si>
  <si>
    <t>La Paz</t>
  </si>
  <si>
    <t>AMARAL</t>
  </si>
  <si>
    <t>Angel Omar Amaral Sepulveda</t>
  </si>
  <si>
    <t>Reel IG</t>
  </si>
  <si>
    <t>Reel Collab</t>
  </si>
  <si>
    <t>TikTok + réplica Reel</t>
  </si>
  <si>
    <t>Post fijo IG</t>
  </si>
  <si>
    <t>Story</t>
  </si>
  <si>
    <t>Fijación 7 días</t>
  </si>
  <si>
    <t>Presencia evento</t>
  </si>
  <si>
    <t>Hosteo</t>
  </si>
  <si>
    <t>Stream evento</t>
  </si>
  <si>
    <t>Stream dedicado / hora</t>
  </si>
  <si>
    <t>Plataforma principal</t>
  </si>
  <si>
    <t>YouTube Short</t>
  </si>
  <si>
    <t>Integración YouTube</t>
  </si>
  <si>
    <t>Video dedicado YouTube</t>
  </si>
  <si>
    <t>Podcast mensual</t>
  </si>
  <si>
    <t>Masterclass / experiencia</t>
  </si>
  <si>
    <t>Exclusividad mensual</t>
  </si>
  <si>
    <t>Fee pelea</t>
  </si>
  <si>
    <t>Audio musical TikTok</t>
  </si>
  <si>
    <t>Estado</t>
  </si>
  <si>
    <t>Fuente / fecha</t>
  </si>
  <si>
    <t>N/A</t>
  </si>
  <si>
    <t>Por confirmar</t>
  </si>
  <si>
    <t>Activo</t>
  </si>
  <si>
    <t>Fee de pelea sujeto a evento y rival.</t>
  </si>
  <si>
    <t>Chuy, 31-jul-2026</t>
  </si>
  <si>
    <t>Stream corresponde a Twitch.</t>
  </si>
  <si>
    <t>Peleas desde $50,000. Menor de edad.</t>
  </si>
  <si>
    <t>$750,000 por marca en short durante combate.</t>
  </si>
  <si>
    <t>Atleta de alto rendimiento; marca con afinidad.</t>
  </si>
  <si>
    <t>Solo marcas afines; priorizar anual o proyecto extraordinario.</t>
  </si>
  <si>
    <t>Faltan Reel, Story, fijación, stream y exclusividad.</t>
  </si>
  <si>
    <t>No stream, podcast ni masterclass por ahora.</t>
  </si>
  <si>
    <t>YouTube convertido a $20 MXN/USD.</t>
  </si>
  <si>
    <t>Kick principal | YouTube disponible</t>
  </si>
  <si>
    <t>Podcast mensual incluye 4 capítulos.</t>
  </si>
  <si>
    <t>Falta definir Reel Collab.</t>
  </si>
  <si>
    <t>Reel Collab quedó debajo del Reel IG; revisar.</t>
  </si>
  <si>
    <t>Actual campeón mundial de calistenia. Falta Reel Collab.</t>
  </si>
  <si>
    <t>YouTube Live principal | Twitch y Kick disponibles</t>
  </si>
  <si>
    <t>Stream dedicado de marca: $100,000 por hora.</t>
  </si>
  <si>
    <t>Folio</t>
  </si>
  <si>
    <t>Cliente</t>
  </si>
  <si>
    <t>Contacto cliente</t>
  </si>
  <si>
    <t>Agente / proveedor</t>
  </si>
  <si>
    <t>Contacto Katana</t>
  </si>
  <si>
    <t>Proyecto</t>
  </si>
  <si>
    <t>Vigencia</t>
  </si>
  <si>
    <t>Forma de pago</t>
  </si>
  <si>
    <t>Moneda / impuestos</t>
  </si>
  <si>
    <t>Alcance</t>
  </si>
  <si>
    <t>No realiza streams. Hosteo desde $30,000.</t>
  </si>
  <si>
    <t>Talentos cotizados</t>
  </si>
  <si>
    <t>Perfiles por caso</t>
  </si>
  <si>
    <t>Aprobación requerida</t>
  </si>
  <si>
    <t>KAT-VPV-2026-001</t>
  </si>
  <si>
    <t>31-jul-2026</t>
  </si>
  <si>
    <t>Visit Puerto Vallarta</t>
  </si>
  <si>
    <t>Gloria</t>
  </si>
  <si>
    <t>Katana Talent</t>
  </si>
  <si>
    <t>YouTube principal | Streaming por confirmar</t>
  </si>
  <si>
    <t>Jesús Gallardo</t>
  </si>
  <si>
    <t>Talento, contenido y experiencias</t>
  </si>
  <si>
    <t>Propuesta comercial / tabulador</t>
  </si>
  <si>
    <t>Enviada</t>
  </si>
  <si>
    <t>15 días naturales</t>
  </si>
  <si>
    <t>50% anticipo y 50% finiquito al terminar</t>
  </si>
  <si>
    <t>MXN + IVA</t>
  </si>
  <si>
    <t>Líder de nicho específico de gaming móvil.</t>
  </si>
  <si>
    <t>1 Reel Collab + 5 Stories + fijación 7 días por talento. Sin total de paquete.</t>
  </si>
  <si>
    <t>Ronaldo BXM; Julio Orozco; Luis Pride; Mariel Estrella; Mariely Coronel; Tejón de la Miel; Mamá Tejona; Tony Gastélum; Yoiker; Nene Creative; Mike Máquina del Mal; Juan de Dios G; Kike Padilla / Rookie Leagues; Diego Alamillo; Neux</t>
  </si>
  <si>
    <t>Divino Espinoza; Lazy Boy; Chuy Almada; Diana; Padigol; Leandro Lasapa; Chanty; Supremo; Keizy; Rafe Lucado; César de la Parra; La Cotorrisa; Westcol; Ibai Llanos; Coscu</t>
  </si>
  <si>
    <t>Jesús Gallardo o Ramiro Ortiz antes de envío final</t>
  </si>
  <si>
    <t>Propuesta enviada a Gloria. Dar seguimiento el martes 4 de agosto de 2026 a las 5:00 pm. No inventar métricas ni categorías. Yoiker: freestyle, lifestyle, entretenimiento y streaming. Tejón: combate (MMA y boxeo) y contenido familiar. Mariel Estrella: fitness y lifestyle.</t>
  </si>
  <si>
    <t>02-ago-2026</t>
  </si>
  <si>
    <t>KAT-HON-2026-001</t>
  </si>
  <si>
    <t>HONOR</t>
  </si>
  <si>
    <t>YouTube principal</t>
  </si>
  <si>
    <t>Propuesta y cotizaciones HONOR</t>
  </si>
  <si>
    <t>Propuesta comercial / cotización</t>
  </si>
  <si>
    <t>En desarrollo / por consolidar</t>
  </si>
  <si>
    <t>Recuperar y vincular propuesta y cotizaciones ya trabajadas.</t>
  </si>
  <si>
    <t>Pendiente localizar archivos finales y confirmar versión maestra.</t>
  </si>
  <si>
    <t>KAT-NFX-2026-001</t>
  </si>
  <si>
    <t>YouTube es su producto premium.</t>
  </si>
  <si>
    <t>Propuesta Netflix</t>
  </si>
  <si>
    <t>Propuesta comercial</t>
  </si>
  <si>
    <t>Recuperar y vincular la propuesta trabajada.</t>
  </si>
  <si>
    <t>Pendiente confirmar alcance, versión final y archivos asociados.</t>
  </si>
  <si>
    <t>KAT-UFC-2026-001</t>
  </si>
  <si>
    <t>UFC</t>
  </si>
  <si>
    <t>Temporada UFC / Julio Orozco</t>
  </si>
  <si>
    <t>Propuesta comercial / relación de talento</t>
  </si>
  <si>
    <t>En desarrollo</t>
  </si>
  <si>
    <t>Organización de llamados, coordinación de talento y relación con UFC.</t>
  </si>
  <si>
    <t>Recuperar media kit, propuesta y documentos de relación UFC.</t>
  </si>
  <si>
    <t>KAT-PLR-2026-001</t>
  </si>
  <si>
    <t>The Player</t>
  </si>
  <si>
    <t>PARK8</t>
  </si>
  <si>
    <t>PARK8 × The Player — Creative Systems Development</t>
  </si>
  <si>
    <t>Propuesta comercial / Creative Tech Development</t>
  </si>
  <si>
    <t>En desarrollo — asignada a Jorge (Broly) y Tony</t>
  </si>
  <si>
    <t>Propuesta especializada en Creative Systems Development: Living Systems, Voice of the Garden (Jardín Botánico de Culiacán), personajes que bailan al ritmo de la música, Iris como IP propia y demostración en tiempo real. La página debe mostrar sistemas con lógica, reacción, comportamiento y generación de data; no efectos decorativos.</t>
  </si>
  <si>
    <t>Kick principal | Twitch disponible</t>
  </si>
  <si>
    <t>Revisión estratégica por Jesús Gallardo y Ramiro Ortiz; validación técnica por Jorge (Broly) y Tony</t>
  </si>
  <si>
    <t>Responsables de desarrollo: Jorge, también conocido como Broly, y Tony. Trabajar sobre el HTML existente y el prompt maestro. Reordenar la narrativa por capítulos: Voice of the Garden completo con data entregada al Jardín Botánico; personajes musicales; Iris como IP propia con demostración en tiempo real. Mantener Creative Tech Development como categoría amplia y Living Systems como diferenciador principal. Revisión de avance: miércoles 05-ago-2026 a las 12:00 pm.</t>
  </si>
  <si>
    <t>03-ago-2026</t>
  </si>
  <si>
    <t>KAT-VDS-2026-001</t>
  </si>
  <si>
    <t>Viajes Lili</t>
  </si>
  <si>
    <t>Carolina Reséndiz</t>
  </si>
  <si>
    <t>Viajes Lili — Strategic Talent &amp; Travel Partnership</t>
  </si>
  <si>
    <t>Propuesta comercial / partnership</t>
  </si>
  <si>
    <t>14 días naturales</t>
  </si>
  <si>
    <t>Por definir según cada colaboración</t>
  </si>
  <si>
    <t>Integración dentro de stream: caso por caso.</t>
  </si>
  <si>
    <t>MXN + IVA cuando aplique</t>
  </si>
  <si>
    <t>Partnership para integrar talento Katana, network regional y perfiles premium en viajes y experiencias. Valores comerciales como referencia; colaboraciones sujetas a cada oportunidad.</t>
  </si>
  <si>
    <t>Ronny; Julio Orozco; Luis Pride; Mariel Estrella; Mariely Coronel; Tejón de la Miel; Divino Espinoza; Lazy Boy; Nene Creative; Yoiker; Mike Máquina del Mal; Padigol; Neux; Tony Gastélum; Juan de Dios García; Kike Padilla / Rookie Leagues; Kamaka; Diego Alamillo; Leandro Lasapa; Chanty; Supremo; Keizy; Rafe Lucado</t>
  </si>
  <si>
    <t>César de la Parra; La Cotorrisa; Westcol; Ibai Llanos; Coscu</t>
  </si>
  <si>
    <t>Aprobada para envío por Jesús Gallardo</t>
  </si>
  <si>
    <t>PDF enviado por WhatsApp a Carolina Reséndiz el 03-ago-2026. Enfoque: alianza estratégica de largo plazo, no cotización aislada. Seguimiento pendiente para conocer interés, destinos y próximos viajes.</t>
  </si>
  <si>
    <t>KAT-RON-2026-001</t>
  </si>
  <si>
    <t>Ronaldo BXM / Ronny</t>
  </si>
  <si>
    <t>Propuesta privada de management</t>
  </si>
  <si>
    <t>Management / desarrollo de talento</t>
  </si>
  <si>
    <t>Sujeta a revisión y firma</t>
  </si>
  <si>
    <t>Por definir en contrato</t>
  </si>
  <si>
    <t>Propuesta de management: historia compartida, activo actual, oportunidad, modelo de trabajo, plan inicial y siguiente paso contractual.</t>
  </si>
  <si>
    <t>No aplica</t>
  </si>
  <si>
    <t>Jesús Gallardo o Ramiro Ortiz antes de envío final; contrato sujeto a revisión de JP</t>
  </si>
  <si>
    <t>Caso piloto del Management Proposal Master. No mostrar tarifas, notas internas ni datos sensibles. HTML avanzado pendiente de identificar y vincular como master.</t>
  </si>
  <si>
    <t>KAT-AZT-2026-001</t>
  </si>
  <si>
    <t>TV Azteca / Azteca Peleas</t>
  </si>
  <si>
    <t>Jorge Garduño</t>
  </si>
  <si>
    <t>Azteca Peleas — promoción digital — 03-oct-2026</t>
  </si>
  <si>
    <t>Anticipo y condiciones sujetas a contratación</t>
  </si>
  <si>
    <t>Opciones independientes por talento: 1 Reel colaborativo + 4 Stories. Presencia en evento sujeta a disponibilidad y cotización adicional.</t>
  </si>
  <si>
    <t>Luis Pride; Tejón de la Miel; Chuy Almada; Ronny</t>
  </si>
  <si>
    <t>Activación/experiencia de béisbol incluida en Masterclass/experiencia.</t>
  </si>
  <si>
    <t>PDF enviado a Jorge Garduño el 03-ago-2026. Valores cotizados: Luis Pride $340,000 + IVA; Tejón de la Miel $340,000 + IVA; Chuy Almada $400,000 + IVA; Ronny $310,000 + IVA. Propuesta sin descuento de paquete. Seguimiento: confirmar recepción, talento de interés y posibilidad presencial.</t>
  </si>
  <si>
    <t>Twitch / Kick — confirmar principal</t>
  </si>
  <si>
    <t>Incompleto</t>
  </si>
  <si>
    <t>Falta tabulador completo y plataforma principal.</t>
  </si>
  <si>
    <t>Pendiente Chuy</t>
  </si>
  <si>
    <t>CAPTURADO</t>
  </si>
  <si>
    <t>HISTÓRICO PRE-MUNDIAL; REQUIERE VALIDACIÓN ACTUAL. Canales Padigol: mención YouTube 1 = $55,000; paquete 15 menciones / 1 mes = $145,000; paquete 45 menciones / 3 meses = $255,000; TikTok 1 = $55,000; paquete 5 TikToks = $125,000; mención Facebook 1 = $35,000; paquete 5 = $110,000; paquete 10 = $200,000. Canales Podcast de Padilla: mención YouTube 1 = $75,000; paquete 13 menciones / 1 mes = $225,000; paquete 30 menciones / 3 meses = $420,000; livestream YouTube 1 = $70,000; Reel IG 1 = $75,000; paquete 5 Reels = $185,000; Story IG 1 = $75,000; paquete 5 Stories = $185,000; TikTok 1 = $75,000; paquete 5 TikToks = $185,000. Faltan páginas de Crónicas de Música y actualización posterior al Mundial.</t>
  </si>
  <si>
    <t>Capturas compartidas por Jesús Gallardo; tarifario fechado 22-mar-2026; cargado 2-ago-2026</t>
  </si>
  <si>
    <t>Cliente / proyecto</t>
  </si>
  <si>
    <t>Opportunity ID</t>
  </si>
  <si>
    <t>Brief / fuente</t>
  </si>
  <si>
    <t>Propuesta / HTML</t>
  </si>
  <si>
    <t>Cotización</t>
  </si>
  <si>
    <t>Carpeta Drive</t>
  </si>
  <si>
    <t>Media kits / assets</t>
  </si>
  <si>
    <t>Siguiente acción</t>
  </si>
  <si>
    <t>Próximo seguimiento</t>
  </si>
  <si>
    <t>Estado expediente</t>
  </si>
  <si>
    <t>Visit Puerto Vallarta — Talento, contenido y experiencias</t>
  </si>
  <si>
    <t>PENDIENTE DE VINCULAR</t>
  </si>
  <si>
    <t>NO DISPONIBLE</t>
  </si>
  <si>
    <t>Dar seguimiento a Gloria</t>
  </si>
  <si>
    <t>04-ago-2026 17:00</t>
  </si>
  <si>
    <t>INCOMPLETO</t>
  </si>
  <si>
    <t>HONOR — Propuesta y cotizaciones</t>
  </si>
  <si>
    <t>PENDIENTE DE LOCALIZAR</t>
  </si>
  <si>
    <t>Localizar archivos finales y confirmar versión maestra</t>
  </si>
  <si>
    <t>Netflix — Propuesta Netflix</t>
  </si>
  <si>
    <t>Confirmar alcance y versión final</t>
  </si>
  <si>
    <t>UFC — Temporada UFC / Julio Orozco</t>
  </si>
  <si>
    <t>PENDIENTE DE JP</t>
  </si>
  <si>
    <t>Recuperar media kit, propuesta y documentos UFC</t>
  </si>
  <si>
    <t>The Player — PARK8 / Creative Tech</t>
  </si>
  <si>
    <t>CASO POR CASO</t>
  </si>
  <si>
    <t>Recuperar pitch, prompts y materiales; no presentar DOPA sin claridad de participación</t>
  </si>
  <si>
    <t>REVISIÓN ESTRATÉGICA</t>
  </si>
  <si>
    <t>Viajes Lili — Propuesta y cotización con talentos</t>
  </si>
  <si>
    <t>85% — PENDIENTE DE VINCULAR</t>
  </si>
  <si>
    <t>Cerrar propuesta y cotización, validar talentos y enviar</t>
  </si>
  <si>
    <t>EN PROCESO</t>
  </si>
  <si>
    <t>Ronaldo BXM — Propuesta privada de management</t>
  </si>
  <si>
    <t>KT-RONNY</t>
  </si>
  <si>
    <t>Roster + CRM + historial compartido</t>
  </si>
  <si>
    <t>HTML AVANZADO PENDIENTE DE IDENTIFICAR Y VINCULAR</t>
  </si>
  <si>
    <t>NO APLICA POR AHORA</t>
  </si>
  <si>
    <t>CONTRATO EN REVISIÓN DE JP</t>
  </si>
  <si>
    <t>Carpeta Ronaldo BXM localizada; pendiente confirmar carpeta maestra</t>
  </si>
  <si>
    <t>Media kits históricos localizados; assets avanzados pendientes de consolidar</t>
  </si>
  <si>
    <t>Identificar el HTML avanzado exacto y declararlo MANAGEMENT_PROPOSAL_MASTER</t>
  </si>
  <si>
    <t>PRIORIDAD ALTA</t>
  </si>
  <si>
    <t>EN PROCESO — PILOTO</t>
  </si>
  <si>
    <t>KATANA ENGINE — MÓDULO PRODUCCIÓN Y CORRIDA FINANCIERA</t>
  </si>
  <si>
    <t>Este módulo registra y conecta cotizadores de producción. No sustituye cotizaciones vigentes de proveedores ni permite cotizar producción genéricamente.</t>
  </si>
  <si>
    <t>ASSET_ID</t>
  </si>
  <si>
    <t>NOMBRE</t>
  </si>
  <si>
    <t>TIPO</t>
  </si>
  <si>
    <t>USO</t>
  </si>
  <si>
    <t>ESTADO</t>
  </si>
  <si>
    <t>FECHA BASE</t>
  </si>
  <si>
    <t>FUENTE</t>
  </si>
  <si>
    <t>LINK</t>
  </si>
  <si>
    <t>VALIDACIÓN</t>
  </si>
  <si>
    <t>NOTAS</t>
  </si>
  <si>
    <t>VENUE</t>
  </si>
  <si>
    <t>CIUDAD</t>
  </si>
  <si>
    <t>AFORO</t>
  </si>
  <si>
    <t>PROVEEDORES</t>
  </si>
  <si>
    <t>PRÓXIMA ACCIÓN</t>
  </si>
  <si>
    <t>PROD-001</t>
  </si>
  <si>
    <t>KATANA_EVENTOS</t>
  </si>
  <si>
    <t>Corrida financiera de eventos</t>
  </si>
  <si>
    <t>Escenarios de boletaje, patrocinios, costos, impuestos, inversión y utilidad</t>
  </si>
  <si>
    <t>Histórico 2022–2025</t>
  </si>
  <si>
    <t>Google Sheets</t>
  </si>
  <si>
    <t>https://docs.google.com/spreadsheets/d/19pVdjkzapM8j5WxR3y2D7i41gEddaTFFWfsQ5nrjI7w</t>
  </si>
  <si>
    <t>REQUIERE VALIDACIÓN</t>
  </si>
  <si>
    <t>La estructura es útil. Los costos, proveedores, impuestos y supuestos son históricos y no deben usarse como cotización vigente. Contiene escenarios por aforo y hojas por evento.</t>
  </si>
  <si>
    <t>Variable por evento</t>
  </si>
  <si>
    <t>REQUIERE COTIZACIÓN ACTUAL</t>
  </si>
  <si>
    <t>Auditar fórmulas y crear plantilla limpia 2026</t>
  </si>
  <si>
    <t>COT-LEG-001</t>
  </si>
  <si>
    <t>TEMPLATE_Cotizador_Katana</t>
  </si>
  <si>
    <t>Cotizador comercial / booking</t>
  </si>
  <si>
    <t>Cotizaciones de talento y booking</t>
  </si>
  <si>
    <t>HISTÓRICO</t>
  </si>
  <si>
    <t>2019–2022 / copia 2026</t>
  </si>
  <si>
    <t>https://docs.google.com/spreadsheets/d/1yGIGsGjflsD2JIz24hwgq2Qbtt1LVS94agwK7muJVns</t>
  </si>
  <si>
    <t>NO USAR COMO FUENTE DE TARIFAS</t>
  </si>
  <si>
    <t>Tiene BOOKING, CRM, Directorio y formatos de cotización. No es corrida financiera de producción y no sustituye el Tarifario Katana actual.</t>
  </si>
  <si>
    <t>COT-LEG-002</t>
  </si>
  <si>
    <t>COTIZADOR 2023</t>
  </si>
  <si>
    <t>Archivo histórico de cotizaciones</t>
  </si>
  <si>
    <t>Referencia de formatos y casos anteriores</t>
  </si>
  <si>
    <t>ARCHIVO HISTÓRICO</t>
  </si>
  <si>
    <t>2023</t>
  </si>
  <si>
    <t>https://docs.google.com/spreadsheets/d/19Dmjn7QzesLSTtPyfnnceYgsQrbYkWZtWrIAYguTISc</t>
  </si>
  <si>
    <t>Contiene numerosos cotizadores, CRM antiguos, tabuladores y casos. Sirve como archivo y referencia, no como sistema operativo actual.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</si>
</sst>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"/>
    <numFmt numFmtId="165" formatCode="\$#,##0;&quot;($&quot;#,##0\)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1A1A1A"/>
      <name val="Arial"/>
    </font>
    <font>
      <color theme="1"/>
      <name val="Calibri"/>
      <scheme val="minor"/>
    </font>
    <font>
      <sz val="10.0"/>
      <color rgb="FF666666"/>
      <name val="Arial"/>
    </font>
    <font>
      <sz val="9.0"/>
      <color rgb="FF595959"/>
      <name val="Calibri"/>
      <scheme val="minor"/>
    </font>
    <font>
      <b/>
      <color rgb="FFFFFFFF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i/>
      <color theme="1"/>
      <name val="Calibri"/>
      <scheme val="minor"/>
    </font>
    <font>
      <color rgb="FF666666"/>
      <name val="Calibri"/>
      <scheme val="minor"/>
    </font>
    <font>
      <b/>
      <sz val="12.0"/>
      <color rgb="FF0000FF"/>
      <name val="Arial"/>
    </font>
    <font>
      <b/>
      <sz val="12.0"/>
      <color rgb="FFFF0000"/>
      <name val="Arial"/>
    </font>
    <font>
      <b/>
      <sz val="12.0"/>
      <color theme="1"/>
      <name val="Arial"/>
    </font>
    <font>
      <b/>
      <sz val="12.0"/>
      <color rgb="FF008000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b/>
      <sz val="9.0"/>
      <color theme="1"/>
      <name val="Cambria"/>
    </font>
    <font>
      <sz val="8.0"/>
      <color theme="1"/>
      <name val="Cambria"/>
    </font>
    <font>
      <i/>
      <sz val="10.0"/>
      <color rgb="FF888888"/>
      <name val="Arial"/>
    </font>
    <font>
      <u/>
      <sz val="10.0"/>
      <color rgb="FF0000FF"/>
      <name val="Arial"/>
    </font>
    <font>
      <b/>
      <sz val="14.0"/>
      <color rgb="FFFFFFFF"/>
      <name val="Calibri"/>
      <scheme val="minor"/>
    </font>
    <font>
      <b/>
      <color rgb="FF05020A"/>
      <name val="Calibri"/>
      <scheme val="minor"/>
    </font>
    <font>
      <u/>
      <color rgb="FF0000FF"/>
    </font>
  </fonts>
  <fills count="14">
    <fill>
      <patternFill patternType="none"/>
    </fill>
    <fill>
      <patternFill patternType="lightGray"/>
    </fill>
    <fill>
      <patternFill patternType="solid">
        <fgColor rgb="FF1A1A1A"/>
        <bgColor rgb="FF1A1A1A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C6E8C6"/>
        <bgColor rgb="FFC6E8C6"/>
      </patternFill>
    </fill>
    <fill>
      <patternFill patternType="solid">
        <fgColor rgb="FFBDD7EE"/>
        <bgColor rgb="FFBDD7EE"/>
      </patternFill>
    </fill>
    <fill>
      <patternFill patternType="solid">
        <fgColor rgb="FFFFE699"/>
        <bgColor rgb="FFFFE699"/>
      </patternFill>
    </fill>
    <fill>
      <patternFill patternType="solid">
        <fgColor rgb="FFE7E6E6"/>
        <bgColor rgb="FFE7E6E6"/>
      </patternFill>
    </fill>
    <fill>
      <patternFill patternType="solid">
        <fgColor rgb="FFF4C7C3"/>
        <bgColor rgb="FFF4C7C3"/>
      </patternFill>
    </fill>
    <fill>
      <patternFill patternType="solid">
        <fgColor rgb="FF7C30C6"/>
        <bgColor rgb="FF7C30C6"/>
      </patternFill>
    </fill>
    <fill>
      <patternFill patternType="solid">
        <fgColor rgb="FF1E1928"/>
        <bgColor rgb="FF1E1928"/>
      </patternFill>
    </fill>
    <fill>
      <patternFill patternType="solid">
        <fgColor rgb="FF0A0614"/>
        <bgColor rgb="FF0A0614"/>
      </patternFill>
    </fill>
    <fill>
      <patternFill patternType="solid">
        <fgColor rgb="FFA98AFF"/>
        <bgColor rgb="FFA98AFF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1"/>
    </xf>
    <xf borderId="0" fillId="2" fontId="6" numFmtId="0" xfId="0" applyAlignment="1" applyFill="1" applyFont="1">
      <alignment readingOrder="0" shrinkToFit="0" wrapText="1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3" fontId="9" numFmtId="0" xfId="0" applyAlignment="1" applyFill="1" applyFont="1">
      <alignment readingOrder="0" shrinkToFit="0" wrapText="1"/>
    </xf>
    <xf borderId="0" fillId="3" fontId="9" numFmtId="0" xfId="0" applyAlignment="1" applyFont="1">
      <alignment shrinkToFit="0" wrapText="1"/>
    </xf>
    <xf borderId="0" fillId="4" fontId="10" numFmtId="0" xfId="0" applyAlignment="1" applyFill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1" fillId="3" fontId="11" numFmtId="164" xfId="0" applyAlignment="1" applyBorder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2" fillId="2" fontId="16" numFmtId="0" xfId="0" applyAlignment="1" applyBorder="1" applyFon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0" fontId="8" numFmtId="164" xfId="0" applyAlignment="1" applyBorder="1" applyFont="1" applyNumberFormat="1">
      <alignment shrinkToFit="0" vertical="bottom" wrapText="0"/>
    </xf>
    <xf borderId="2" fillId="2" fontId="16" numFmtId="0" xfId="0" applyAlignment="1" applyBorder="1" applyFont="1">
      <alignment horizontal="center" shrinkToFit="0" vertical="center" wrapText="1"/>
    </xf>
    <xf borderId="2" fillId="0" fontId="8" numFmtId="165" xfId="0" applyAlignment="1" applyBorder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1" fillId="5" fontId="18" numFmtId="0" xfId="0" applyAlignment="1" applyBorder="1" applyFill="1" applyFont="1">
      <alignment horizontal="center" shrinkToFit="0" vertical="bottom" wrapText="1"/>
    </xf>
    <xf borderId="1" fillId="6" fontId="18" numFmtId="0" xfId="0" applyAlignment="1" applyBorder="1" applyFill="1" applyFont="1">
      <alignment horizontal="center" shrinkToFit="0" vertical="bottom" wrapText="1"/>
    </xf>
    <xf borderId="1" fillId="7" fontId="18" numFmtId="0" xfId="0" applyAlignment="1" applyBorder="1" applyFill="1" applyFont="1">
      <alignment horizontal="center" shrinkToFit="0" vertical="bottom" wrapText="1"/>
    </xf>
    <xf borderId="1" fillId="8" fontId="18" numFmtId="0" xfId="0" applyAlignment="1" applyBorder="1" applyFill="1" applyFont="1">
      <alignment horizontal="center" shrinkToFit="0" vertical="bottom" wrapText="1"/>
    </xf>
    <xf borderId="1" fillId="9" fontId="18" numFmtId="0" xfId="0" applyAlignment="1" applyBorder="1" applyFill="1" applyFont="1">
      <alignment horizontal="center" shrinkToFit="0" vertical="bottom" wrapText="1"/>
    </xf>
    <xf borderId="0" fillId="0" fontId="19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quotePrefix="1" borderId="0" fillId="0" fontId="8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readingOrder="0" shrinkToFit="0" vertical="bottom" wrapText="0"/>
    </xf>
    <xf borderId="0" fillId="0" fontId="8" numFmtId="0" xfId="0" applyAlignment="1" applyFont="1">
      <alignment shrinkToFit="0" vertical="top" wrapText="0"/>
    </xf>
    <xf borderId="0" fillId="0" fontId="8" numFmtId="0" xfId="0" applyAlignment="1" applyFont="1">
      <alignment shrinkToFit="0" vertical="top" wrapText="1"/>
    </xf>
    <xf borderId="0" fillId="0" fontId="8" numFmtId="164" xfId="0" applyAlignment="1" applyFont="1" applyNumberFormat="1">
      <alignment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8" numFmtId="0" xfId="0" applyAlignment="1" applyFont="1">
      <alignment readingOrder="0" shrinkToFit="0" vertical="top" wrapText="1"/>
    </xf>
    <xf borderId="0" fillId="0" fontId="8" numFmtId="164" xfId="0" applyAlignment="1" applyFont="1" applyNumberFormat="1">
      <alignment readingOrder="0" shrinkToFit="0" vertical="top" wrapText="0"/>
    </xf>
    <xf quotePrefix="1" borderId="0" fillId="0" fontId="8" numFmtId="0" xfId="0" applyAlignment="1" applyFont="1">
      <alignment readingOrder="0" shrinkToFit="0" vertical="top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10" fontId="6" numFmtId="0" xfId="0" applyAlignment="1" applyFill="1" applyFont="1">
      <alignment horizontal="center" shrinkToFit="0" vertical="center" wrapText="1"/>
    </xf>
    <xf borderId="0" fillId="0" fontId="3" numFmtId="0" xfId="0" applyFont="1"/>
    <xf borderId="0" fillId="0" fontId="8" numFmtId="0" xfId="0" applyAlignment="1" applyFont="1">
      <alignment readingOrder="0" shrinkToFit="0" vertical="top" wrapText="0"/>
    </xf>
    <xf borderId="0" fillId="0" fontId="20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top" wrapText="1"/>
    </xf>
    <xf quotePrefix="1" borderId="0" fillId="0" fontId="3" numFmtId="0" xfId="0" applyAlignment="1" applyFont="1">
      <alignment readingOrder="0" shrinkToFit="0" vertical="top" wrapText="1"/>
    </xf>
    <xf quotePrefix="1" borderId="0" fillId="0" fontId="3" numFmtId="0" xfId="0" applyAlignment="1" applyFont="1">
      <alignment readingOrder="0"/>
    </xf>
    <xf borderId="0" fillId="11" fontId="6" numFmtId="0" xfId="0" applyAlignment="1" applyFill="1" applyFont="1">
      <alignment horizontal="center" shrinkToFit="0" vertical="center" wrapText="1"/>
    </xf>
    <xf borderId="0" fillId="12" fontId="21" numFmtId="0" xfId="0" applyAlignment="1" applyFill="1" applyFont="1">
      <alignment horizontal="left" readingOrder="0"/>
    </xf>
    <xf borderId="0" fillId="12" fontId="21" numFmtId="0" xfId="0" applyAlignment="1" applyFont="1">
      <alignment horizontal="left"/>
    </xf>
    <xf borderId="0" fillId="13" fontId="22" numFmtId="0" xfId="0" applyAlignment="1" applyFill="1" applyFont="1">
      <alignment readingOrder="0" shrinkToFit="0" wrapText="1"/>
    </xf>
    <xf borderId="0" fillId="0" fontId="23" numFmtId="0" xfId="0" applyAlignment="1" applyFont="1">
      <alignment readingOrder="0"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C6E8C6"/>
          <bgColor rgb="FFC6E8C6"/>
        </patternFill>
      </fill>
      <border/>
    </dxf>
    <dxf>
      <font/>
      <fill>
        <patternFill patternType="solid">
          <fgColor rgb="FFBDD7EE"/>
          <bgColor rgb="FFBDD7EE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TWMAP6Ak43b1IMU3mSScKstMW9jvHAjA/view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pVdjkzapM8j5WxR3y2D7i41gEddaTFFWfsQ5nrjI7w" TargetMode="External"/><Relationship Id="rId2" Type="http://schemas.openxmlformats.org/officeDocument/2006/relationships/hyperlink" Target="https://docs.google.com/spreadsheets/d/1yGIGsGjflsD2JIz24hwgq2Qbtt1LVS94agwK7muJVns" TargetMode="External"/><Relationship Id="rId3" Type="http://schemas.openxmlformats.org/officeDocument/2006/relationships/hyperlink" Target="https://docs.google.com/spreadsheets/d/19Dmjn7QzesLSTtPyfnnceYgsQrbYkWZtWrIAYguTISc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3" width="95.0"/>
    <col customWidth="1" min="4" max="26" width="8.71"/>
  </cols>
  <sheetData>
    <row r="1">
      <c r="A1" s="1"/>
      <c r="B1" s="1"/>
      <c r="C1" s="1"/>
    </row>
    <row r="2" ht="17.25" customHeight="1">
      <c r="A2" s="1"/>
      <c r="B2" s="2" t="s">
        <v>0</v>
      </c>
      <c r="C2" s="1"/>
    </row>
    <row r="3" ht="15.0" customHeight="1">
      <c r="A3" s="1"/>
      <c r="B3" s="4" t="s">
        <v>3</v>
      </c>
      <c r="C3" s="1"/>
    </row>
    <row r="4">
      <c r="A4" s="1"/>
      <c r="B4" s="1"/>
      <c r="C4" s="1"/>
    </row>
    <row r="5" ht="15.0" customHeight="1">
      <c r="A5" s="1"/>
      <c r="B5" s="7"/>
      <c r="C5" s="8"/>
    </row>
    <row r="6" ht="15.0" customHeight="1">
      <c r="A6" s="1"/>
      <c r="B6" s="7" t="s">
        <v>18</v>
      </c>
      <c r="C6" s="8"/>
    </row>
    <row r="7" ht="15.0" customHeight="1">
      <c r="A7" s="1"/>
      <c r="B7" s="7" t="s">
        <v>22</v>
      </c>
      <c r="C7" s="8" t="s">
        <v>24</v>
      </c>
    </row>
    <row r="8" ht="15.0" customHeight="1">
      <c r="A8" s="1"/>
      <c r="B8" s="7" t="s">
        <v>28</v>
      </c>
      <c r="C8" s="8" t="s">
        <v>31</v>
      </c>
    </row>
    <row r="9" ht="15.0" customHeight="1">
      <c r="A9" s="1"/>
      <c r="B9" s="7" t="s">
        <v>32</v>
      </c>
      <c r="C9" s="8" t="s">
        <v>34</v>
      </c>
    </row>
    <row r="10" ht="15.0" customHeight="1">
      <c r="A10" s="1"/>
      <c r="B10" s="7" t="s">
        <v>38</v>
      </c>
      <c r="C10" s="8" t="s">
        <v>40</v>
      </c>
    </row>
    <row r="11" ht="15.0" customHeight="1">
      <c r="A11" s="1"/>
      <c r="B11" s="7" t="s">
        <v>45</v>
      </c>
      <c r="C11" s="8" t="s">
        <v>46</v>
      </c>
    </row>
    <row r="12" ht="15.0" customHeight="1">
      <c r="A12" s="1"/>
      <c r="B12" s="7" t="s">
        <v>47</v>
      </c>
      <c r="C12" s="8" t="s">
        <v>49</v>
      </c>
    </row>
    <row r="13" ht="15.0" customHeight="1">
      <c r="A13" s="1"/>
      <c r="B13" s="7" t="s">
        <v>50</v>
      </c>
      <c r="C13" s="8" t="s">
        <v>52</v>
      </c>
    </row>
    <row r="14" ht="15.0" customHeight="1">
      <c r="A14" s="1"/>
      <c r="B14" s="7"/>
      <c r="C14" s="8"/>
    </row>
    <row r="15" ht="15.0" customHeight="1">
      <c r="A15" s="1"/>
      <c r="B15" s="7" t="s">
        <v>53</v>
      </c>
      <c r="C15" s="8"/>
    </row>
    <row r="16" ht="15.0" customHeight="1">
      <c r="A16" s="1"/>
      <c r="B16" s="7" t="s">
        <v>57</v>
      </c>
      <c r="C16" s="8" t="s">
        <v>58</v>
      </c>
    </row>
    <row r="17" ht="15.0" customHeight="1">
      <c r="A17" s="1"/>
      <c r="B17" s="7" t="s">
        <v>61</v>
      </c>
      <c r="C17" s="8" t="s">
        <v>62</v>
      </c>
    </row>
    <row r="18" ht="15.0" customHeight="1">
      <c r="A18" s="1"/>
      <c r="B18" s="7" t="s">
        <v>63</v>
      </c>
      <c r="C18" s="8" t="s">
        <v>65</v>
      </c>
    </row>
    <row r="19" ht="15.0" customHeight="1">
      <c r="A19" s="1"/>
      <c r="B19" s="7" t="s">
        <v>68</v>
      </c>
      <c r="C19" s="8" t="s">
        <v>70</v>
      </c>
    </row>
    <row r="20">
      <c r="A20" s="1"/>
      <c r="B20" s="1"/>
      <c r="C20" s="1"/>
    </row>
    <row r="21" ht="15.75" customHeight="1">
      <c r="A21" s="1"/>
      <c r="B21" s="1"/>
      <c r="C21" s="1"/>
    </row>
    <row r="22" ht="15.75" customHeight="1">
      <c r="A22" s="1"/>
      <c r="B22" s="1"/>
      <c r="C22" s="1"/>
    </row>
    <row r="23" ht="15.75" customHeight="1">
      <c r="A23" s="1"/>
      <c r="B23" s="1"/>
      <c r="C23" s="1"/>
    </row>
    <row r="24" ht="15.75" customHeight="1">
      <c r="A24" s="1"/>
      <c r="B24" s="1"/>
      <c r="C24" s="1"/>
    </row>
    <row r="25" ht="15.75" customHeight="1">
      <c r="A25" s="1"/>
      <c r="B25" s="1"/>
      <c r="C25" s="1"/>
    </row>
    <row r="26" ht="15.75" customHeight="1">
      <c r="A26" s="1"/>
      <c r="B26" s="1"/>
      <c r="C26" s="1"/>
    </row>
    <row r="27" ht="15.75" customHeight="1">
      <c r="A27" s="1"/>
      <c r="B27" s="1"/>
      <c r="C27" s="1"/>
    </row>
    <row r="28" ht="15.75" customHeight="1">
      <c r="A28" s="1"/>
      <c r="B28" s="1"/>
      <c r="C28" s="1"/>
    </row>
    <row r="29" ht="15.75" customHeight="1">
      <c r="A29" s="1"/>
      <c r="B29" s="1"/>
      <c r="C29" s="1"/>
    </row>
    <row r="30" ht="15.75" customHeight="1">
      <c r="A30" s="1"/>
      <c r="B30" s="1"/>
      <c r="C30" s="1"/>
    </row>
    <row r="31" ht="15.75" customHeight="1">
      <c r="A31" s="1"/>
      <c r="B31" s="1"/>
      <c r="C31" s="1"/>
    </row>
    <row r="32" ht="15.75" customHeight="1">
      <c r="A32" s="1"/>
      <c r="B32" s="1"/>
      <c r="C32" s="1"/>
    </row>
    <row r="33" ht="15.75" customHeight="1">
      <c r="A33" s="1"/>
      <c r="B33" s="1"/>
      <c r="C33" s="1"/>
    </row>
    <row r="34" ht="15.75" customHeight="1">
      <c r="A34" s="1"/>
      <c r="B34" s="1"/>
      <c r="C34" s="1"/>
    </row>
    <row r="35" ht="15.75" customHeight="1">
      <c r="A35" s="1"/>
      <c r="B35" s="1"/>
      <c r="C35" s="1"/>
    </row>
    <row r="36" ht="15.75" customHeight="1">
      <c r="A36" s="1"/>
      <c r="B36" s="1"/>
      <c r="C36" s="1"/>
    </row>
    <row r="37" ht="15.75" customHeight="1">
      <c r="A37" s="1"/>
      <c r="B37" s="1"/>
      <c r="C37" s="1"/>
    </row>
    <row r="38" ht="15.75" customHeight="1">
      <c r="A38" s="1"/>
      <c r="B38" s="1"/>
      <c r="C38" s="1"/>
    </row>
    <row r="39" ht="15.75" customHeight="1">
      <c r="A39" s="1"/>
      <c r="B39" s="1"/>
      <c r="C39" s="1"/>
    </row>
    <row r="40" ht="15.75" customHeight="1">
      <c r="A40" s="1"/>
      <c r="B40" s="1"/>
      <c r="C40" s="1"/>
    </row>
    <row r="41" ht="15.75" customHeight="1">
      <c r="A41" s="1"/>
      <c r="B41" s="1"/>
      <c r="C41" s="1"/>
    </row>
    <row r="42" ht="15.75" customHeight="1">
      <c r="A42" s="1"/>
      <c r="B42" s="1"/>
      <c r="C42" s="1"/>
    </row>
    <row r="43" ht="15.75" customHeight="1">
      <c r="A43" s="1"/>
      <c r="B43" s="1"/>
      <c r="C43" s="1"/>
    </row>
    <row r="44" ht="15.75" customHeight="1">
      <c r="A44" s="1"/>
      <c r="B44" s="1"/>
      <c r="C44" s="1"/>
    </row>
    <row r="45" ht="15.75" customHeight="1">
      <c r="A45" s="1"/>
      <c r="B45" s="1"/>
      <c r="C45" s="1"/>
    </row>
    <row r="46" ht="15.75" customHeight="1">
      <c r="A46" s="1"/>
      <c r="B46" s="1"/>
      <c r="C46" s="1"/>
    </row>
    <row r="47" ht="15.75" customHeight="1">
      <c r="A47" s="1"/>
      <c r="B47" s="1"/>
      <c r="C47" s="1"/>
    </row>
    <row r="48" ht="15.75" customHeight="1">
      <c r="A48" s="1"/>
      <c r="B48" s="1"/>
      <c r="C48" s="1"/>
    </row>
    <row r="49" ht="15.75" customHeight="1">
      <c r="A49" s="1"/>
      <c r="B49" s="1"/>
      <c r="C49" s="1"/>
    </row>
    <row r="50" ht="15.75" customHeight="1">
      <c r="A50" s="1"/>
      <c r="B50" s="1"/>
      <c r="C50" s="1"/>
    </row>
    <row r="51" ht="15.75" customHeight="1">
      <c r="A51" s="1"/>
      <c r="B51" s="1"/>
      <c r="C51" s="1"/>
    </row>
    <row r="52" ht="15.75" customHeight="1">
      <c r="A52" s="1"/>
      <c r="B52" s="1"/>
      <c r="C52" s="1"/>
    </row>
    <row r="53" ht="15.75" customHeight="1">
      <c r="A53" s="1"/>
      <c r="B53" s="1"/>
      <c r="C53" s="1"/>
    </row>
    <row r="54" ht="15.75" customHeight="1">
      <c r="A54" s="1"/>
      <c r="B54" s="1"/>
      <c r="C54" s="1"/>
    </row>
    <row r="55" ht="15.75" customHeight="1">
      <c r="A55" s="1"/>
      <c r="B55" s="1"/>
      <c r="C55" s="1"/>
    </row>
    <row r="56" ht="15.75" customHeight="1">
      <c r="A56" s="1"/>
      <c r="B56" s="1"/>
      <c r="C56" s="1"/>
    </row>
    <row r="57" ht="15.75" customHeight="1">
      <c r="A57" s="1"/>
      <c r="B57" s="1"/>
      <c r="C57" s="1"/>
    </row>
    <row r="58" ht="15.75" customHeight="1">
      <c r="A58" s="1"/>
      <c r="B58" s="1"/>
      <c r="C58" s="1"/>
    </row>
    <row r="59" ht="15.75" customHeight="1">
      <c r="A59" s="1"/>
      <c r="B59" s="1"/>
      <c r="C59" s="1"/>
    </row>
    <row r="60" ht="15.75" customHeight="1">
      <c r="A60" s="1"/>
      <c r="B60" s="1"/>
      <c r="C60" s="1"/>
    </row>
    <row r="61" ht="15.75" customHeight="1">
      <c r="A61" s="1"/>
      <c r="B61" s="1"/>
      <c r="C61" s="1"/>
    </row>
    <row r="62" ht="15.75" customHeight="1">
      <c r="A62" s="1"/>
      <c r="B62" s="1"/>
      <c r="C62" s="1"/>
    </row>
    <row r="63" ht="15.75" customHeight="1">
      <c r="A63" s="1"/>
      <c r="B63" s="1"/>
      <c r="C63" s="1"/>
    </row>
    <row r="64" ht="15.75" customHeight="1">
      <c r="A64" s="1"/>
      <c r="B64" s="1"/>
      <c r="C64" s="1"/>
    </row>
    <row r="65" ht="15.75" customHeight="1">
      <c r="A65" s="1"/>
      <c r="B65" s="1"/>
      <c r="C65" s="1"/>
    </row>
    <row r="66" ht="15.75" customHeight="1">
      <c r="A66" s="1"/>
      <c r="B66" s="1"/>
      <c r="C66" s="1"/>
    </row>
    <row r="67" ht="15.75" customHeight="1">
      <c r="A67" s="1"/>
      <c r="B67" s="1"/>
      <c r="C67" s="1"/>
    </row>
    <row r="68" ht="15.75" customHeight="1">
      <c r="A68" s="1"/>
      <c r="B68" s="1"/>
      <c r="C68" s="1"/>
    </row>
    <row r="69" ht="15.75" customHeight="1">
      <c r="A69" s="1"/>
      <c r="B69" s="1"/>
      <c r="C69" s="1"/>
    </row>
    <row r="70" ht="15.75" customHeight="1">
      <c r="A70" s="1"/>
      <c r="B70" s="1"/>
      <c r="C70" s="1"/>
    </row>
    <row r="71" ht="15.75" customHeight="1">
      <c r="A71" s="1"/>
      <c r="B71" s="1"/>
      <c r="C71" s="1"/>
    </row>
    <row r="72" ht="15.75" customHeight="1">
      <c r="A72" s="1"/>
      <c r="B72" s="1"/>
      <c r="C72" s="1"/>
    </row>
    <row r="73" ht="15.75" customHeight="1">
      <c r="A73" s="1"/>
      <c r="B73" s="1"/>
      <c r="C73" s="1"/>
    </row>
    <row r="74" ht="15.75" customHeight="1">
      <c r="A74" s="1"/>
      <c r="B74" s="1"/>
      <c r="C74" s="1"/>
    </row>
    <row r="75" ht="15.75" customHeight="1">
      <c r="A75" s="1"/>
      <c r="B75" s="1"/>
      <c r="C75" s="1"/>
    </row>
    <row r="76" ht="15.75" customHeight="1">
      <c r="A76" s="1"/>
      <c r="B76" s="1"/>
      <c r="C76" s="1"/>
    </row>
    <row r="77" ht="15.75" customHeight="1">
      <c r="A77" s="1"/>
      <c r="B77" s="1"/>
      <c r="C77" s="1"/>
    </row>
    <row r="78" ht="15.75" customHeight="1">
      <c r="A78" s="1"/>
      <c r="B78" s="1"/>
      <c r="C78" s="1"/>
    </row>
    <row r="79" ht="15.75" customHeight="1">
      <c r="A79" s="1"/>
      <c r="B79" s="1"/>
      <c r="C79" s="1"/>
    </row>
    <row r="80" ht="15.75" customHeight="1">
      <c r="A80" s="1"/>
      <c r="B80" s="1"/>
      <c r="C80" s="1"/>
    </row>
    <row r="81" ht="15.75" customHeight="1">
      <c r="A81" s="1"/>
      <c r="B81" s="1"/>
      <c r="C81" s="1"/>
    </row>
    <row r="82" ht="15.75" customHeight="1">
      <c r="A82" s="1"/>
      <c r="B82" s="1"/>
      <c r="C82" s="1"/>
    </row>
    <row r="83" ht="15.75" customHeight="1">
      <c r="A83" s="1"/>
      <c r="B83" s="1"/>
      <c r="C83" s="1"/>
    </row>
    <row r="84" ht="15.75" customHeight="1">
      <c r="A84" s="1"/>
      <c r="B84" s="1"/>
      <c r="C84" s="1"/>
    </row>
    <row r="85" ht="15.75" customHeight="1">
      <c r="A85" s="1"/>
      <c r="B85" s="1"/>
      <c r="C85" s="1"/>
    </row>
    <row r="86" ht="15.75" customHeight="1">
      <c r="A86" s="1"/>
      <c r="B86" s="1"/>
      <c r="C86" s="1"/>
    </row>
    <row r="87" ht="15.75" customHeight="1">
      <c r="A87" s="1"/>
      <c r="B87" s="1"/>
      <c r="C87" s="1"/>
    </row>
    <row r="88" ht="15.75" customHeight="1">
      <c r="A88" s="1"/>
      <c r="B88" s="1"/>
      <c r="C88" s="1"/>
    </row>
    <row r="89" ht="15.75" customHeight="1">
      <c r="A89" s="1"/>
      <c r="B89" s="1"/>
      <c r="C89" s="1"/>
    </row>
    <row r="90" ht="15.75" customHeight="1">
      <c r="A90" s="1"/>
      <c r="B90" s="1"/>
      <c r="C90" s="1"/>
    </row>
    <row r="91" ht="15.75" customHeight="1">
      <c r="A91" s="1"/>
      <c r="B91" s="1"/>
      <c r="C91" s="1"/>
    </row>
    <row r="92" ht="15.75" customHeight="1">
      <c r="A92" s="1"/>
      <c r="B92" s="1"/>
      <c r="C92" s="1"/>
    </row>
    <row r="93" ht="15.75" customHeight="1">
      <c r="A93" s="1"/>
      <c r="B93" s="1"/>
      <c r="C93" s="1"/>
    </row>
    <row r="94" ht="15.75" customHeight="1">
      <c r="A94" s="1"/>
      <c r="B94" s="1"/>
      <c r="C94" s="1"/>
    </row>
    <row r="95" ht="15.75" customHeight="1">
      <c r="A95" s="1"/>
      <c r="B95" s="1"/>
      <c r="C95" s="1"/>
    </row>
    <row r="96" ht="15.75" customHeight="1">
      <c r="A96" s="1"/>
      <c r="B96" s="1"/>
      <c r="C96" s="1"/>
    </row>
    <row r="97" ht="15.75" customHeight="1">
      <c r="A97" s="1"/>
      <c r="B97" s="1"/>
      <c r="C97" s="1"/>
    </row>
    <row r="98" ht="15.75" customHeight="1">
      <c r="A98" s="1"/>
      <c r="B98" s="1"/>
      <c r="C98" s="1"/>
    </row>
    <row r="99" ht="15.75" customHeight="1">
      <c r="A99" s="1"/>
      <c r="B99" s="1"/>
      <c r="C99" s="1"/>
    </row>
    <row r="100" ht="15.75" customHeight="1">
      <c r="A100" s="1"/>
      <c r="B100" s="1"/>
      <c r="C100" s="1"/>
    </row>
    <row r="101" ht="15.75" customHeight="1">
      <c r="A101" s="1"/>
      <c r="B101" s="1"/>
      <c r="C101" s="1"/>
    </row>
    <row r="102" ht="15.75" customHeight="1">
      <c r="A102" s="1"/>
      <c r="B102" s="1"/>
      <c r="C102" s="1"/>
    </row>
    <row r="103" ht="15.75" customHeight="1">
      <c r="A103" s="1"/>
      <c r="B103" s="1"/>
      <c r="C103" s="1"/>
    </row>
    <row r="104" ht="15.75" customHeight="1">
      <c r="A104" s="1"/>
      <c r="B104" s="1"/>
      <c r="C104" s="1"/>
    </row>
    <row r="105" ht="15.75" customHeight="1">
      <c r="A105" s="1"/>
      <c r="B105" s="1"/>
      <c r="C105" s="1"/>
    </row>
    <row r="106" ht="15.75" customHeight="1">
      <c r="A106" s="1"/>
      <c r="B106" s="1"/>
      <c r="C106" s="1"/>
    </row>
    <row r="107" ht="15.75" customHeight="1">
      <c r="A107" s="1"/>
      <c r="B107" s="1"/>
      <c r="C107" s="1"/>
    </row>
    <row r="108" ht="15.75" customHeight="1">
      <c r="A108" s="1"/>
      <c r="B108" s="1"/>
      <c r="C108" s="1"/>
    </row>
    <row r="109" ht="15.75" customHeight="1">
      <c r="A109" s="1"/>
      <c r="B109" s="1"/>
      <c r="C109" s="1"/>
    </row>
    <row r="110" ht="15.75" customHeight="1">
      <c r="A110" s="1"/>
      <c r="B110" s="1"/>
      <c r="C110" s="1"/>
    </row>
    <row r="111" ht="15.75" customHeight="1">
      <c r="A111" s="1"/>
      <c r="B111" s="1"/>
      <c r="C111" s="1"/>
    </row>
    <row r="112" ht="15.75" customHeight="1">
      <c r="A112" s="1"/>
      <c r="B112" s="1"/>
      <c r="C112" s="1"/>
    </row>
    <row r="113" ht="15.75" customHeight="1">
      <c r="A113" s="1"/>
      <c r="B113" s="1"/>
      <c r="C113" s="1"/>
    </row>
    <row r="114" ht="15.75" customHeight="1">
      <c r="A114" s="1"/>
      <c r="B114" s="1"/>
      <c r="C114" s="1"/>
    </row>
    <row r="115" ht="15.75" customHeight="1">
      <c r="A115" s="1"/>
      <c r="B115" s="1"/>
      <c r="C115" s="1"/>
    </row>
    <row r="116" ht="15.75" customHeight="1">
      <c r="A116" s="1"/>
      <c r="B116" s="1"/>
      <c r="C116" s="1"/>
    </row>
    <row r="117" ht="15.75" customHeight="1">
      <c r="A117" s="1"/>
      <c r="B117" s="1"/>
      <c r="C117" s="1"/>
    </row>
    <row r="118" ht="15.75" customHeight="1">
      <c r="A118" s="1"/>
      <c r="B118" s="1"/>
      <c r="C118" s="1"/>
    </row>
    <row r="119" ht="15.75" customHeight="1">
      <c r="A119" s="1"/>
      <c r="B119" s="1"/>
      <c r="C119" s="1"/>
    </row>
    <row r="120" ht="15.75" customHeight="1">
      <c r="A120" s="1"/>
      <c r="B120" s="1"/>
      <c r="C120" s="1"/>
    </row>
    <row r="121" ht="15.75" customHeight="1">
      <c r="A121" s="1"/>
      <c r="B121" s="1"/>
      <c r="C121" s="1"/>
    </row>
    <row r="122" ht="15.75" customHeight="1">
      <c r="A122" s="1"/>
      <c r="B122" s="1"/>
      <c r="C122" s="1"/>
    </row>
    <row r="123" ht="15.75" customHeight="1">
      <c r="A123" s="1"/>
      <c r="B123" s="1"/>
      <c r="C123" s="1"/>
    </row>
    <row r="124" ht="15.75" customHeight="1">
      <c r="A124" s="1"/>
      <c r="B124" s="1"/>
      <c r="C124" s="1"/>
    </row>
    <row r="125" ht="15.75" customHeight="1">
      <c r="A125" s="1"/>
      <c r="B125" s="1"/>
      <c r="C125" s="1"/>
    </row>
    <row r="126" ht="15.75" customHeight="1">
      <c r="A126" s="1"/>
      <c r="B126" s="1"/>
      <c r="C126" s="1"/>
    </row>
    <row r="127" ht="15.75" customHeight="1">
      <c r="A127" s="1"/>
      <c r="B127" s="1"/>
      <c r="C127" s="1"/>
    </row>
    <row r="128" ht="15.75" customHeight="1">
      <c r="A128" s="1"/>
      <c r="B128" s="1"/>
      <c r="C128" s="1"/>
    </row>
    <row r="129" ht="15.75" customHeight="1">
      <c r="A129" s="1"/>
      <c r="B129" s="1"/>
      <c r="C129" s="1"/>
    </row>
    <row r="130" ht="15.75" customHeight="1">
      <c r="A130" s="1"/>
      <c r="B130" s="1"/>
      <c r="C130" s="1"/>
    </row>
    <row r="131" ht="15.75" customHeight="1">
      <c r="A131" s="1"/>
      <c r="B131" s="1"/>
      <c r="C131" s="1"/>
    </row>
    <row r="132" ht="15.75" customHeight="1">
      <c r="A132" s="1"/>
      <c r="B132" s="1"/>
      <c r="C132" s="1"/>
    </row>
    <row r="133" ht="15.75" customHeight="1">
      <c r="A133" s="1"/>
      <c r="B133" s="1"/>
      <c r="C133" s="1"/>
    </row>
    <row r="134" ht="15.75" customHeight="1">
      <c r="A134" s="1"/>
      <c r="B134" s="1"/>
      <c r="C134" s="1"/>
    </row>
    <row r="135" ht="15.75" customHeight="1">
      <c r="A135" s="1"/>
      <c r="B135" s="1"/>
      <c r="C135" s="1"/>
    </row>
    <row r="136" ht="15.75" customHeight="1">
      <c r="A136" s="1"/>
      <c r="B136" s="1"/>
      <c r="C136" s="1"/>
    </row>
    <row r="137" ht="15.75" customHeight="1">
      <c r="A137" s="1"/>
      <c r="B137" s="1"/>
      <c r="C137" s="1"/>
    </row>
    <row r="138" ht="15.75" customHeight="1">
      <c r="A138" s="1"/>
      <c r="B138" s="1"/>
      <c r="C138" s="1"/>
    </row>
    <row r="139" ht="15.75" customHeight="1">
      <c r="A139" s="1"/>
      <c r="B139" s="1"/>
      <c r="C139" s="1"/>
    </row>
    <row r="140" ht="15.75" customHeight="1">
      <c r="A140" s="1"/>
      <c r="B140" s="1"/>
      <c r="C140" s="1"/>
    </row>
    <row r="141" ht="15.75" customHeight="1">
      <c r="A141" s="1"/>
      <c r="B141" s="1"/>
      <c r="C141" s="1"/>
    </row>
    <row r="142" ht="15.75" customHeight="1">
      <c r="A142" s="1"/>
      <c r="B142" s="1"/>
      <c r="C142" s="1"/>
    </row>
    <row r="143" ht="15.75" customHeight="1">
      <c r="A143" s="1"/>
      <c r="B143" s="1"/>
      <c r="C143" s="1"/>
    </row>
    <row r="144" ht="15.75" customHeight="1">
      <c r="A144" s="1"/>
      <c r="B144" s="1"/>
      <c r="C144" s="1"/>
    </row>
    <row r="145" ht="15.75" customHeight="1">
      <c r="A145" s="1"/>
      <c r="B145" s="1"/>
      <c r="C145" s="1"/>
    </row>
    <row r="146" ht="15.75" customHeight="1">
      <c r="A146" s="1"/>
      <c r="B146" s="1"/>
      <c r="C146" s="1"/>
    </row>
    <row r="147" ht="15.75" customHeight="1">
      <c r="A147" s="1"/>
      <c r="B147" s="1"/>
      <c r="C147" s="1"/>
    </row>
    <row r="148" ht="15.75" customHeight="1">
      <c r="A148" s="1"/>
      <c r="B148" s="1"/>
      <c r="C148" s="1"/>
    </row>
    <row r="149" ht="15.75" customHeight="1">
      <c r="A149" s="1"/>
      <c r="B149" s="1"/>
      <c r="C149" s="1"/>
    </row>
    <row r="150" ht="15.75" customHeight="1">
      <c r="A150" s="1"/>
      <c r="B150" s="1"/>
      <c r="C150" s="1"/>
    </row>
    <row r="151" ht="15.75" customHeight="1">
      <c r="A151" s="1"/>
      <c r="B151" s="1"/>
      <c r="C151" s="1"/>
    </row>
    <row r="152" ht="15.75" customHeight="1">
      <c r="A152" s="1"/>
      <c r="B152" s="1"/>
      <c r="C152" s="1"/>
    </row>
    <row r="153" ht="15.75" customHeight="1">
      <c r="A153" s="1"/>
      <c r="B153" s="1"/>
      <c r="C153" s="1"/>
    </row>
    <row r="154" ht="15.75" customHeight="1">
      <c r="A154" s="1"/>
      <c r="B154" s="1"/>
      <c r="C154" s="1"/>
    </row>
    <row r="155" ht="15.75" customHeight="1">
      <c r="A155" s="1"/>
      <c r="B155" s="1"/>
      <c r="C155" s="1"/>
    </row>
    <row r="156" ht="15.75" customHeight="1">
      <c r="A156" s="1"/>
      <c r="B156" s="1"/>
      <c r="C156" s="1"/>
    </row>
    <row r="157" ht="15.75" customHeight="1">
      <c r="A157" s="1"/>
      <c r="B157" s="1"/>
      <c r="C157" s="1"/>
    </row>
    <row r="158" ht="15.75" customHeight="1">
      <c r="A158" s="1"/>
      <c r="B158" s="1"/>
      <c r="C158" s="1"/>
    </row>
    <row r="159" ht="15.75" customHeight="1">
      <c r="A159" s="1"/>
      <c r="B159" s="1"/>
      <c r="C159" s="1"/>
    </row>
    <row r="160" ht="15.75" customHeight="1">
      <c r="A160" s="1"/>
      <c r="B160" s="1"/>
      <c r="C160" s="1"/>
    </row>
    <row r="161" ht="15.75" customHeight="1">
      <c r="A161" s="1"/>
      <c r="B161" s="1"/>
      <c r="C161" s="1"/>
    </row>
    <row r="162" ht="15.75" customHeight="1">
      <c r="A162" s="1"/>
      <c r="B162" s="1"/>
      <c r="C162" s="1"/>
    </row>
    <row r="163" ht="15.75" customHeight="1">
      <c r="A163" s="1"/>
      <c r="B163" s="1"/>
      <c r="C163" s="1"/>
    </row>
    <row r="164" ht="15.75" customHeight="1">
      <c r="A164" s="1"/>
      <c r="B164" s="1"/>
      <c r="C164" s="1"/>
    </row>
    <row r="165" ht="15.75" customHeight="1">
      <c r="A165" s="1"/>
      <c r="B165" s="1"/>
      <c r="C165" s="1"/>
    </row>
    <row r="166" ht="15.75" customHeight="1">
      <c r="A166" s="1"/>
      <c r="B166" s="1"/>
      <c r="C166" s="1"/>
    </row>
    <row r="167" ht="15.75" customHeight="1">
      <c r="A167" s="1"/>
      <c r="B167" s="1"/>
      <c r="C167" s="1"/>
    </row>
    <row r="168" ht="15.75" customHeight="1">
      <c r="A168" s="1"/>
      <c r="B168" s="1"/>
      <c r="C168" s="1"/>
    </row>
    <row r="169" ht="15.75" customHeight="1">
      <c r="A169" s="1"/>
      <c r="B169" s="1"/>
      <c r="C169" s="1"/>
    </row>
    <row r="170" ht="15.75" customHeight="1">
      <c r="A170" s="1"/>
      <c r="B170" s="1"/>
      <c r="C170" s="1"/>
    </row>
    <row r="171" ht="15.75" customHeight="1">
      <c r="A171" s="1"/>
      <c r="B171" s="1"/>
      <c r="C171" s="1"/>
    </row>
    <row r="172" ht="15.75" customHeight="1">
      <c r="A172" s="1"/>
      <c r="B172" s="1"/>
      <c r="C172" s="1"/>
    </row>
    <row r="173" ht="15.75" customHeight="1">
      <c r="A173" s="1"/>
      <c r="B173" s="1"/>
      <c r="C173" s="1"/>
    </row>
    <row r="174" ht="15.75" customHeight="1">
      <c r="A174" s="1"/>
      <c r="B174" s="1"/>
      <c r="C174" s="1"/>
    </row>
    <row r="175" ht="15.75" customHeight="1">
      <c r="A175" s="1"/>
      <c r="B175" s="1"/>
      <c r="C175" s="1"/>
    </row>
    <row r="176" ht="15.75" customHeight="1">
      <c r="A176" s="1"/>
      <c r="B176" s="1"/>
      <c r="C176" s="1"/>
    </row>
    <row r="177" ht="15.75" customHeight="1">
      <c r="A177" s="1"/>
      <c r="B177" s="1"/>
      <c r="C177" s="1"/>
    </row>
    <row r="178" ht="15.75" customHeight="1">
      <c r="A178" s="1"/>
      <c r="B178" s="1"/>
      <c r="C178" s="1"/>
    </row>
    <row r="179" ht="15.75" customHeight="1">
      <c r="A179" s="1"/>
      <c r="B179" s="1"/>
      <c r="C179" s="1"/>
    </row>
    <row r="180" ht="15.75" customHeight="1">
      <c r="A180" s="1"/>
      <c r="B180" s="1"/>
      <c r="C180" s="1"/>
    </row>
    <row r="181" ht="15.75" customHeight="1">
      <c r="A181" s="1"/>
      <c r="B181" s="1"/>
      <c r="C181" s="1"/>
    </row>
    <row r="182" ht="15.75" customHeight="1">
      <c r="A182" s="1"/>
      <c r="B182" s="1"/>
      <c r="C182" s="1"/>
    </row>
    <row r="183" ht="15.75" customHeight="1">
      <c r="A183" s="1"/>
      <c r="B183" s="1"/>
      <c r="C183" s="1"/>
    </row>
    <row r="184" ht="15.75" customHeight="1">
      <c r="A184" s="1"/>
      <c r="B184" s="1"/>
      <c r="C184" s="1"/>
    </row>
    <row r="185" ht="15.75" customHeight="1">
      <c r="A185" s="1"/>
      <c r="B185" s="1"/>
      <c r="C185" s="1"/>
    </row>
    <row r="186" ht="15.75" customHeight="1">
      <c r="A186" s="1"/>
      <c r="B186" s="1"/>
      <c r="C186" s="1"/>
    </row>
    <row r="187" ht="15.75" customHeight="1">
      <c r="A187" s="1"/>
      <c r="B187" s="1"/>
      <c r="C187" s="1"/>
    </row>
    <row r="188" ht="15.75" customHeight="1">
      <c r="A188" s="1"/>
      <c r="B188" s="1"/>
      <c r="C188" s="1"/>
    </row>
    <row r="189" ht="15.75" customHeight="1">
      <c r="A189" s="1"/>
      <c r="B189" s="1"/>
      <c r="C189" s="1"/>
    </row>
    <row r="190" ht="15.75" customHeight="1">
      <c r="A190" s="1"/>
      <c r="B190" s="1"/>
      <c r="C190" s="1"/>
    </row>
    <row r="191" ht="15.75" customHeight="1">
      <c r="A191" s="1"/>
      <c r="B191" s="1"/>
      <c r="C191" s="1"/>
    </row>
    <row r="192" ht="15.75" customHeight="1">
      <c r="A192" s="1"/>
      <c r="B192" s="1"/>
      <c r="C192" s="1"/>
    </row>
    <row r="193" ht="15.75" customHeight="1">
      <c r="A193" s="1"/>
      <c r="B193" s="1"/>
      <c r="C193" s="1"/>
    </row>
    <row r="194" ht="15.75" customHeight="1">
      <c r="A194" s="1"/>
      <c r="B194" s="1"/>
      <c r="C194" s="1"/>
    </row>
    <row r="195" ht="15.75" customHeight="1">
      <c r="A195" s="1"/>
      <c r="B195" s="1"/>
      <c r="C195" s="1"/>
    </row>
    <row r="196" ht="15.75" customHeight="1">
      <c r="A196" s="1"/>
      <c r="B196" s="1"/>
      <c r="C196" s="1"/>
    </row>
    <row r="197" ht="15.75" customHeight="1">
      <c r="A197" s="1"/>
      <c r="B197" s="1"/>
      <c r="C197" s="1"/>
    </row>
    <row r="198" ht="15.75" customHeight="1">
      <c r="A198" s="1"/>
      <c r="B198" s="1"/>
      <c r="C198" s="1"/>
    </row>
    <row r="199" ht="15.75" customHeight="1">
      <c r="A199" s="1"/>
      <c r="B199" s="1"/>
      <c r="C199" s="1"/>
    </row>
    <row r="200" ht="15.75" customHeight="1">
      <c r="A200" s="1"/>
      <c r="B200" s="1"/>
      <c r="C200" s="1"/>
    </row>
    <row r="201" ht="15.75" customHeight="1">
      <c r="A201" s="1"/>
      <c r="B201" s="1"/>
      <c r="C201" s="1"/>
    </row>
    <row r="202" ht="15.75" customHeight="1">
      <c r="A202" s="1"/>
      <c r="B202" s="1"/>
      <c r="C202" s="1"/>
    </row>
    <row r="203" ht="15.75" customHeight="1">
      <c r="A203" s="1"/>
      <c r="B203" s="1"/>
      <c r="C203" s="1"/>
    </row>
    <row r="204" ht="15.75" customHeight="1">
      <c r="A204" s="1"/>
      <c r="B204" s="1"/>
      <c r="C204" s="1"/>
    </row>
    <row r="205" ht="15.75" customHeight="1">
      <c r="A205" s="1"/>
      <c r="B205" s="1"/>
      <c r="C205" s="1"/>
    </row>
    <row r="206" ht="15.75" customHeight="1">
      <c r="A206" s="1"/>
      <c r="B206" s="1"/>
      <c r="C206" s="1"/>
    </row>
    <row r="207" ht="15.75" customHeight="1">
      <c r="A207" s="1"/>
      <c r="B207" s="1"/>
      <c r="C207" s="1"/>
    </row>
    <row r="208" ht="15.75" customHeight="1">
      <c r="A208" s="1"/>
      <c r="B208" s="1"/>
      <c r="C208" s="1"/>
    </row>
    <row r="209" ht="15.75" customHeight="1">
      <c r="A209" s="1"/>
      <c r="B209" s="1"/>
      <c r="C209" s="1"/>
    </row>
    <row r="210" ht="15.75" customHeight="1">
      <c r="A210" s="1"/>
      <c r="B210" s="1"/>
      <c r="C210" s="1"/>
    </row>
    <row r="211" ht="15.75" customHeight="1">
      <c r="A211" s="1"/>
      <c r="B211" s="1"/>
      <c r="C211" s="1"/>
    </row>
    <row r="212" ht="15.75" customHeight="1">
      <c r="A212" s="1"/>
      <c r="B212" s="1"/>
      <c r="C212" s="1"/>
    </row>
    <row r="213" ht="15.75" customHeight="1">
      <c r="A213" s="1"/>
      <c r="B213" s="1"/>
      <c r="C213" s="1"/>
    </row>
    <row r="214" ht="15.75" customHeight="1">
      <c r="A214" s="1"/>
      <c r="B214" s="1"/>
      <c r="C214" s="1"/>
    </row>
    <row r="215" ht="15.75" customHeight="1">
      <c r="A215" s="1"/>
      <c r="B215" s="1"/>
      <c r="C215" s="1"/>
    </row>
    <row r="216" ht="15.75" customHeight="1">
      <c r="A216" s="1"/>
      <c r="B216" s="1"/>
      <c r="C216" s="1"/>
    </row>
    <row r="217" ht="15.75" customHeight="1">
      <c r="A217" s="1"/>
      <c r="B217" s="1"/>
      <c r="C217" s="1"/>
    </row>
    <row r="218" ht="15.75" customHeight="1">
      <c r="A218" s="1"/>
      <c r="B218" s="1"/>
      <c r="C218" s="1"/>
    </row>
    <row r="219" ht="15.75" customHeight="1">
      <c r="A219" s="1"/>
      <c r="B219" s="1"/>
      <c r="C219" s="1"/>
    </row>
    <row r="220" ht="15.75" customHeight="1">
      <c r="A220" s="1"/>
      <c r="B220" s="1"/>
      <c r="C220" s="1"/>
    </row>
    <row r="221" ht="15.75" customHeight="1">
      <c r="A221" s="1"/>
      <c r="B221" s="1"/>
      <c r="C221" s="1"/>
    </row>
    <row r="222" ht="15.75" customHeight="1">
      <c r="A222" s="1"/>
      <c r="B222" s="1"/>
      <c r="C222" s="1"/>
    </row>
    <row r="223" ht="15.75" customHeight="1">
      <c r="A223" s="1"/>
      <c r="B223" s="1"/>
      <c r="C223" s="1"/>
    </row>
    <row r="224" ht="15.75" customHeight="1">
      <c r="A224" s="1"/>
      <c r="B224" s="1"/>
      <c r="C224" s="1"/>
    </row>
    <row r="225" ht="15.75" customHeight="1">
      <c r="A225" s="1"/>
      <c r="B225" s="1"/>
      <c r="C225" s="1"/>
    </row>
    <row r="226" ht="15.75" customHeight="1">
      <c r="A226" s="1"/>
      <c r="B226" s="1"/>
      <c r="C226" s="1"/>
    </row>
    <row r="227" ht="15.75" customHeight="1">
      <c r="A227" s="1"/>
      <c r="B227" s="1"/>
      <c r="C227" s="1"/>
    </row>
    <row r="228" ht="15.75" customHeight="1">
      <c r="A228" s="1"/>
      <c r="B228" s="1"/>
      <c r="C228" s="1"/>
    </row>
    <row r="229" ht="15.75" customHeight="1">
      <c r="A229" s="1"/>
      <c r="B229" s="1"/>
      <c r="C229" s="1"/>
    </row>
    <row r="230" ht="15.75" customHeight="1">
      <c r="A230" s="1"/>
      <c r="B230" s="1"/>
      <c r="C230" s="1"/>
    </row>
    <row r="231" ht="15.75" customHeight="1">
      <c r="A231" s="1"/>
      <c r="B231" s="1"/>
      <c r="C231" s="1"/>
    </row>
    <row r="232" ht="15.75" customHeight="1">
      <c r="A232" s="1"/>
      <c r="B232" s="1"/>
      <c r="C232" s="1"/>
    </row>
    <row r="233" ht="15.75" customHeight="1">
      <c r="A233" s="1"/>
      <c r="B233" s="1"/>
      <c r="C233" s="1"/>
    </row>
    <row r="234" ht="15.75" customHeight="1">
      <c r="A234" s="1"/>
      <c r="B234" s="1"/>
      <c r="C234" s="1"/>
    </row>
    <row r="235" ht="15.75" customHeight="1">
      <c r="A235" s="1"/>
      <c r="B235" s="1"/>
      <c r="C235" s="1"/>
    </row>
    <row r="236" ht="15.75" customHeight="1">
      <c r="A236" s="1"/>
      <c r="B236" s="1"/>
      <c r="C236" s="1"/>
    </row>
    <row r="237" ht="15.75" customHeight="1">
      <c r="A237" s="1"/>
      <c r="B237" s="1"/>
      <c r="C237" s="1"/>
    </row>
    <row r="238" ht="15.75" customHeight="1">
      <c r="A238" s="1"/>
      <c r="B238" s="1"/>
      <c r="C238" s="1"/>
    </row>
    <row r="239" ht="15.75" customHeight="1">
      <c r="A239" s="1"/>
      <c r="B239" s="1"/>
      <c r="C239" s="1"/>
    </row>
    <row r="240" ht="15.75" customHeight="1">
      <c r="A240" s="1"/>
      <c r="B240" s="1"/>
      <c r="C240" s="1"/>
    </row>
    <row r="241" ht="15.75" customHeight="1">
      <c r="A241" s="1"/>
      <c r="B241" s="1"/>
      <c r="C241" s="1"/>
    </row>
    <row r="242" ht="15.75" customHeight="1">
      <c r="A242" s="1"/>
      <c r="B242" s="1"/>
      <c r="C242" s="1"/>
    </row>
    <row r="243" ht="15.75" customHeight="1">
      <c r="A243" s="1"/>
      <c r="B243" s="1"/>
      <c r="C243" s="1"/>
    </row>
    <row r="244" ht="15.75" customHeight="1">
      <c r="A244" s="1"/>
      <c r="B244" s="1"/>
      <c r="C244" s="1"/>
    </row>
    <row r="245" ht="15.75" customHeight="1">
      <c r="A245" s="1"/>
      <c r="B245" s="1"/>
      <c r="C245" s="1"/>
    </row>
    <row r="246" ht="15.75" customHeight="1">
      <c r="A246" s="1"/>
      <c r="B246" s="1"/>
      <c r="C246" s="1"/>
    </row>
    <row r="247" ht="15.75" customHeight="1">
      <c r="A247" s="1"/>
      <c r="B247" s="1"/>
      <c r="C247" s="1"/>
    </row>
    <row r="248" ht="15.75" customHeight="1">
      <c r="A248" s="1"/>
      <c r="B248" s="1"/>
      <c r="C248" s="1"/>
    </row>
    <row r="249" ht="15.75" customHeight="1">
      <c r="A249" s="1"/>
      <c r="B249" s="1"/>
      <c r="C249" s="1"/>
    </row>
    <row r="250" ht="15.75" customHeight="1">
      <c r="A250" s="1"/>
      <c r="B250" s="1"/>
      <c r="C250" s="1"/>
    </row>
    <row r="251" ht="15.75" customHeight="1">
      <c r="A251" s="1"/>
      <c r="B251" s="1"/>
      <c r="C251" s="1"/>
    </row>
    <row r="252" ht="15.75" customHeight="1">
      <c r="A252" s="1"/>
      <c r="B252" s="1"/>
      <c r="C252" s="1"/>
    </row>
    <row r="253" ht="15.75" customHeight="1">
      <c r="A253" s="1"/>
      <c r="B253" s="1"/>
      <c r="C253" s="1"/>
    </row>
    <row r="254" ht="15.75" customHeight="1">
      <c r="A254" s="1"/>
      <c r="B254" s="1"/>
      <c r="C254" s="1"/>
    </row>
    <row r="255" ht="15.75" customHeight="1">
      <c r="A255" s="1"/>
      <c r="B255" s="1"/>
      <c r="C255" s="1"/>
    </row>
    <row r="256" ht="15.75" customHeight="1">
      <c r="A256" s="1"/>
      <c r="B256" s="1"/>
      <c r="C256" s="1"/>
    </row>
    <row r="257" ht="15.75" customHeight="1">
      <c r="A257" s="1"/>
      <c r="B257" s="1"/>
      <c r="C257" s="1"/>
    </row>
    <row r="258" ht="15.75" customHeight="1">
      <c r="A258" s="1"/>
      <c r="B258" s="1"/>
      <c r="C258" s="1"/>
    </row>
    <row r="259" ht="15.75" customHeight="1">
      <c r="A259" s="1"/>
      <c r="B259" s="1"/>
      <c r="C259" s="1"/>
    </row>
    <row r="260" ht="15.75" customHeight="1">
      <c r="A260" s="1"/>
      <c r="B260" s="1"/>
      <c r="C260" s="1"/>
    </row>
    <row r="261" ht="15.75" customHeight="1">
      <c r="A261" s="1"/>
      <c r="B261" s="1"/>
      <c r="C261" s="1"/>
    </row>
    <row r="262" ht="15.75" customHeight="1">
      <c r="A262" s="1"/>
      <c r="B262" s="1"/>
      <c r="C262" s="1"/>
    </row>
    <row r="263" ht="15.75" customHeight="1">
      <c r="A263" s="1"/>
      <c r="B263" s="1"/>
      <c r="C263" s="1"/>
    </row>
    <row r="264" ht="15.75" customHeight="1">
      <c r="A264" s="1"/>
      <c r="B264" s="1"/>
      <c r="C264" s="1"/>
    </row>
    <row r="265" ht="15.75" customHeight="1">
      <c r="A265" s="1"/>
      <c r="B265" s="1"/>
      <c r="C265" s="1"/>
    </row>
    <row r="266" ht="15.75" customHeight="1">
      <c r="A266" s="1"/>
      <c r="B266" s="1"/>
      <c r="C266" s="1"/>
    </row>
    <row r="267" ht="15.75" customHeight="1">
      <c r="A267" s="1"/>
      <c r="B267" s="1"/>
      <c r="C267" s="1"/>
    </row>
    <row r="268" ht="15.75" customHeight="1">
      <c r="A268" s="1"/>
      <c r="B268" s="1"/>
      <c r="C268" s="1"/>
    </row>
    <row r="269" ht="15.75" customHeight="1">
      <c r="A269" s="1"/>
      <c r="B269" s="1"/>
      <c r="C269" s="1"/>
    </row>
    <row r="270" ht="15.75" customHeight="1">
      <c r="A270" s="1"/>
      <c r="B270" s="1"/>
      <c r="C270" s="1"/>
    </row>
    <row r="271" ht="15.75" customHeight="1">
      <c r="A271" s="1"/>
      <c r="B271" s="1"/>
      <c r="C271" s="1"/>
    </row>
    <row r="272" ht="15.75" customHeight="1">
      <c r="A272" s="1"/>
      <c r="B272" s="1"/>
      <c r="C272" s="1"/>
    </row>
    <row r="273" ht="15.75" customHeight="1">
      <c r="A273" s="1"/>
      <c r="B273" s="1"/>
      <c r="C273" s="1"/>
    </row>
    <row r="274" ht="15.75" customHeight="1">
      <c r="A274" s="1"/>
      <c r="B274" s="1"/>
      <c r="C274" s="1"/>
    </row>
    <row r="275" ht="15.75" customHeight="1">
      <c r="A275" s="1"/>
      <c r="B275" s="1"/>
      <c r="C275" s="1"/>
    </row>
    <row r="276" ht="15.75" customHeight="1">
      <c r="A276" s="1"/>
      <c r="B276" s="1"/>
      <c r="C276" s="1"/>
    </row>
    <row r="277" ht="15.75" customHeight="1">
      <c r="A277" s="1"/>
      <c r="B277" s="1"/>
      <c r="C277" s="1"/>
    </row>
    <row r="278" ht="15.75" customHeight="1">
      <c r="A278" s="1"/>
      <c r="B278" s="1"/>
      <c r="C278" s="1"/>
    </row>
    <row r="279" ht="15.75" customHeight="1">
      <c r="A279" s="1"/>
      <c r="B279" s="1"/>
      <c r="C279" s="1"/>
    </row>
    <row r="280" ht="15.75" customHeight="1">
      <c r="A280" s="1"/>
      <c r="B280" s="1"/>
      <c r="C280" s="1"/>
    </row>
    <row r="281" ht="15.75" customHeight="1">
      <c r="A281" s="1"/>
      <c r="B281" s="1"/>
      <c r="C281" s="1"/>
    </row>
    <row r="282" ht="15.75" customHeight="1">
      <c r="A282" s="1"/>
      <c r="B282" s="1"/>
      <c r="C282" s="1"/>
    </row>
    <row r="283" ht="15.75" customHeight="1">
      <c r="A283" s="1"/>
      <c r="B283" s="1"/>
      <c r="C283" s="1"/>
    </row>
    <row r="284" ht="15.75" customHeight="1">
      <c r="A284" s="1"/>
      <c r="B284" s="1"/>
      <c r="C284" s="1"/>
    </row>
    <row r="285" ht="15.75" customHeight="1">
      <c r="A285" s="1"/>
      <c r="B285" s="1"/>
      <c r="C285" s="1"/>
    </row>
    <row r="286" ht="15.75" customHeight="1">
      <c r="A286" s="1"/>
      <c r="B286" s="1"/>
      <c r="C286" s="1"/>
    </row>
    <row r="287" ht="15.75" customHeight="1">
      <c r="A287" s="1"/>
      <c r="B287" s="1"/>
      <c r="C287" s="1"/>
    </row>
    <row r="288" ht="15.75" customHeight="1">
      <c r="A288" s="1"/>
      <c r="B288" s="1"/>
      <c r="C288" s="1"/>
    </row>
    <row r="289" ht="15.75" customHeight="1">
      <c r="A289" s="1"/>
      <c r="B289" s="1"/>
      <c r="C289" s="1"/>
    </row>
    <row r="290" ht="15.75" customHeight="1">
      <c r="A290" s="1"/>
      <c r="B290" s="1"/>
      <c r="C290" s="1"/>
    </row>
    <row r="291" ht="15.75" customHeight="1">
      <c r="A291" s="1"/>
      <c r="B291" s="1"/>
      <c r="C291" s="1"/>
    </row>
    <row r="292" ht="15.75" customHeight="1">
      <c r="A292" s="1"/>
      <c r="B292" s="1"/>
      <c r="C292" s="1"/>
    </row>
    <row r="293" ht="15.75" customHeight="1">
      <c r="A293" s="1"/>
      <c r="B293" s="1"/>
      <c r="C293" s="1"/>
    </row>
    <row r="294" ht="15.75" customHeight="1">
      <c r="A294" s="1"/>
      <c r="B294" s="1"/>
      <c r="C294" s="1"/>
    </row>
    <row r="295" ht="15.75" customHeight="1">
      <c r="A295" s="1"/>
      <c r="B295" s="1"/>
      <c r="C295" s="1"/>
    </row>
    <row r="296" ht="15.75" customHeight="1">
      <c r="A296" s="1"/>
      <c r="B296" s="1"/>
      <c r="C296" s="1"/>
    </row>
    <row r="297" ht="15.75" customHeight="1">
      <c r="A297" s="1"/>
      <c r="B297" s="1"/>
      <c r="C297" s="1"/>
    </row>
    <row r="298" ht="15.75" customHeight="1">
      <c r="A298" s="1"/>
      <c r="B298" s="1"/>
      <c r="C298" s="1"/>
    </row>
    <row r="299" ht="15.75" customHeight="1">
      <c r="A299" s="1"/>
      <c r="B299" s="1"/>
      <c r="C299" s="1"/>
    </row>
    <row r="300" ht="15.75" customHeight="1">
      <c r="A300" s="1"/>
      <c r="B300" s="1"/>
      <c r="C300" s="1"/>
    </row>
    <row r="301" ht="15.75" customHeight="1">
      <c r="A301" s="1"/>
      <c r="B301" s="1"/>
      <c r="C301" s="1"/>
    </row>
    <row r="302" ht="15.75" customHeight="1">
      <c r="A302" s="1"/>
      <c r="B302" s="1"/>
      <c r="C302" s="1"/>
    </row>
    <row r="303" ht="15.75" customHeight="1">
      <c r="A303" s="1"/>
      <c r="B303" s="1"/>
      <c r="C303" s="1"/>
    </row>
    <row r="304" ht="15.75" customHeight="1">
      <c r="A304" s="1"/>
      <c r="B304" s="1"/>
      <c r="C304" s="1"/>
    </row>
    <row r="305" ht="15.75" customHeight="1">
      <c r="A305" s="1"/>
      <c r="B305" s="1"/>
      <c r="C305" s="1"/>
    </row>
    <row r="306" ht="15.75" customHeight="1">
      <c r="A306" s="1"/>
      <c r="B306" s="1"/>
      <c r="C306" s="1"/>
    </row>
    <row r="307" ht="15.75" customHeight="1">
      <c r="A307" s="1"/>
      <c r="B307" s="1"/>
      <c r="C307" s="1"/>
    </row>
    <row r="308" ht="15.75" customHeight="1">
      <c r="A308" s="1"/>
      <c r="B308" s="1"/>
      <c r="C308" s="1"/>
    </row>
    <row r="309" ht="15.75" customHeight="1">
      <c r="A309" s="1"/>
      <c r="B309" s="1"/>
      <c r="C309" s="1"/>
    </row>
    <row r="310" ht="15.75" customHeight="1">
      <c r="A310" s="1"/>
      <c r="B310" s="1"/>
      <c r="C310" s="1"/>
    </row>
    <row r="311" ht="15.75" customHeight="1">
      <c r="A311" s="1"/>
      <c r="B311" s="1"/>
      <c r="C311" s="1"/>
    </row>
    <row r="312" ht="15.75" customHeight="1">
      <c r="A312" s="1"/>
      <c r="B312" s="1"/>
      <c r="C312" s="1"/>
    </row>
    <row r="313" ht="15.75" customHeight="1">
      <c r="A313" s="1"/>
      <c r="B313" s="1"/>
      <c r="C313" s="1"/>
    </row>
    <row r="314" ht="15.75" customHeight="1">
      <c r="A314" s="1"/>
      <c r="B314" s="1"/>
      <c r="C314" s="1"/>
    </row>
    <row r="315" ht="15.75" customHeight="1">
      <c r="A315" s="1"/>
      <c r="B315" s="1"/>
      <c r="C315" s="1"/>
    </row>
    <row r="316" ht="15.75" customHeight="1">
      <c r="A316" s="1"/>
      <c r="B316" s="1"/>
      <c r="C316" s="1"/>
    </row>
    <row r="317" ht="15.75" customHeight="1">
      <c r="A317" s="1"/>
      <c r="B317" s="1"/>
      <c r="C317" s="1"/>
    </row>
    <row r="318" ht="15.75" customHeight="1">
      <c r="A318" s="1"/>
      <c r="B318" s="1"/>
      <c r="C318" s="1"/>
    </row>
    <row r="319" ht="15.75" customHeight="1">
      <c r="A319" s="1"/>
      <c r="B319" s="1"/>
      <c r="C319" s="1"/>
    </row>
    <row r="320" ht="15.75" customHeight="1">
      <c r="A320" s="1"/>
      <c r="B320" s="1"/>
      <c r="C320" s="1"/>
    </row>
    <row r="321" ht="15.75" customHeight="1">
      <c r="A321" s="1"/>
      <c r="B321" s="1"/>
      <c r="C321" s="1"/>
    </row>
    <row r="322" ht="15.75" customHeight="1">
      <c r="A322" s="1"/>
      <c r="B322" s="1"/>
      <c r="C322" s="1"/>
    </row>
    <row r="323" ht="15.75" customHeight="1">
      <c r="A323" s="1"/>
      <c r="B323" s="1"/>
      <c r="C323" s="1"/>
    </row>
    <row r="324" ht="15.75" customHeight="1">
      <c r="A324" s="1"/>
      <c r="B324" s="1"/>
      <c r="C324" s="1"/>
    </row>
    <row r="325" ht="15.75" customHeight="1">
      <c r="A325" s="1"/>
      <c r="B325" s="1"/>
      <c r="C325" s="1"/>
    </row>
    <row r="326" ht="15.75" customHeight="1">
      <c r="A326" s="1"/>
      <c r="B326" s="1"/>
      <c r="C326" s="1"/>
    </row>
    <row r="327" ht="15.75" customHeight="1">
      <c r="A327" s="1"/>
      <c r="B327" s="1"/>
      <c r="C327" s="1"/>
    </row>
    <row r="328" ht="15.75" customHeight="1">
      <c r="A328" s="1"/>
      <c r="B328" s="1"/>
      <c r="C328" s="1"/>
    </row>
    <row r="329" ht="15.75" customHeight="1">
      <c r="A329" s="1"/>
      <c r="B329" s="1"/>
      <c r="C329" s="1"/>
    </row>
    <row r="330" ht="15.75" customHeight="1">
      <c r="A330" s="1"/>
      <c r="B330" s="1"/>
      <c r="C330" s="1"/>
    </row>
    <row r="331" ht="15.75" customHeight="1">
      <c r="A331" s="1"/>
      <c r="B331" s="1"/>
      <c r="C331" s="1"/>
    </row>
    <row r="332" ht="15.75" customHeight="1">
      <c r="A332" s="1"/>
      <c r="B332" s="1"/>
      <c r="C332" s="1"/>
    </row>
    <row r="333" ht="15.75" customHeight="1">
      <c r="A333" s="1"/>
      <c r="B333" s="1"/>
      <c r="C333" s="1"/>
    </row>
    <row r="334" ht="15.75" customHeight="1">
      <c r="A334" s="1"/>
      <c r="B334" s="1"/>
      <c r="C334" s="1"/>
    </row>
    <row r="335" ht="15.75" customHeight="1">
      <c r="A335" s="1"/>
      <c r="B335" s="1"/>
      <c r="C335" s="1"/>
    </row>
    <row r="336" ht="15.75" customHeight="1">
      <c r="A336" s="1"/>
      <c r="B336" s="1"/>
      <c r="C336" s="1"/>
    </row>
    <row r="337" ht="15.75" customHeight="1">
      <c r="A337" s="1"/>
      <c r="B337" s="1"/>
      <c r="C337" s="1"/>
    </row>
    <row r="338" ht="15.75" customHeight="1">
      <c r="A338" s="1"/>
      <c r="B338" s="1"/>
      <c r="C338" s="1"/>
    </row>
    <row r="339" ht="15.75" customHeight="1">
      <c r="A339" s="1"/>
      <c r="B339" s="1"/>
      <c r="C339" s="1"/>
    </row>
    <row r="340" ht="15.75" customHeight="1">
      <c r="A340" s="1"/>
      <c r="B340" s="1"/>
      <c r="C340" s="1"/>
    </row>
    <row r="341" ht="15.75" customHeight="1">
      <c r="A341" s="1"/>
      <c r="B341" s="1"/>
      <c r="C341" s="1"/>
    </row>
    <row r="342" ht="15.75" customHeight="1">
      <c r="A342" s="1"/>
      <c r="B342" s="1"/>
      <c r="C342" s="1"/>
    </row>
    <row r="343" ht="15.75" customHeight="1">
      <c r="A343" s="1"/>
      <c r="B343" s="1"/>
      <c r="C343" s="1"/>
    </row>
    <row r="344" ht="15.75" customHeight="1">
      <c r="A344" s="1"/>
      <c r="B344" s="1"/>
      <c r="C344" s="1"/>
    </row>
    <row r="345" ht="15.75" customHeight="1">
      <c r="A345" s="1"/>
      <c r="B345" s="1"/>
      <c r="C345" s="1"/>
    </row>
    <row r="346" ht="15.75" customHeight="1">
      <c r="A346" s="1"/>
      <c r="B346" s="1"/>
      <c r="C346" s="1"/>
    </row>
    <row r="347" ht="15.75" customHeight="1">
      <c r="A347" s="1"/>
      <c r="B347" s="1"/>
      <c r="C347" s="1"/>
    </row>
    <row r="348" ht="15.75" customHeight="1">
      <c r="A348" s="1"/>
      <c r="B348" s="1"/>
      <c r="C348" s="1"/>
    </row>
    <row r="349" ht="15.75" customHeight="1">
      <c r="A349" s="1"/>
      <c r="B349" s="1"/>
      <c r="C349" s="1"/>
    </row>
    <row r="350" ht="15.75" customHeight="1">
      <c r="A350" s="1"/>
      <c r="B350" s="1"/>
      <c r="C350" s="1"/>
    </row>
    <row r="351" ht="15.75" customHeight="1">
      <c r="A351" s="1"/>
      <c r="B351" s="1"/>
      <c r="C351" s="1"/>
    </row>
    <row r="352" ht="15.75" customHeight="1">
      <c r="A352" s="1"/>
      <c r="B352" s="1"/>
      <c r="C352" s="1"/>
    </row>
    <row r="353" ht="15.75" customHeight="1">
      <c r="A353" s="1"/>
      <c r="B353" s="1"/>
      <c r="C353" s="1"/>
    </row>
    <row r="354" ht="15.75" customHeight="1">
      <c r="A354" s="1"/>
      <c r="B354" s="1"/>
      <c r="C354" s="1"/>
    </row>
    <row r="355" ht="15.75" customHeight="1">
      <c r="A355" s="1"/>
      <c r="B355" s="1"/>
      <c r="C355" s="1"/>
    </row>
    <row r="356" ht="15.75" customHeight="1">
      <c r="A356" s="1"/>
      <c r="B356" s="1"/>
      <c r="C356" s="1"/>
    </row>
    <row r="357" ht="15.75" customHeight="1">
      <c r="A357" s="1"/>
      <c r="B357" s="1"/>
      <c r="C357" s="1"/>
    </row>
    <row r="358" ht="15.75" customHeight="1">
      <c r="A358" s="1"/>
      <c r="B358" s="1"/>
      <c r="C358" s="1"/>
    </row>
    <row r="359" ht="15.75" customHeight="1">
      <c r="A359" s="1"/>
      <c r="B359" s="1"/>
      <c r="C359" s="1"/>
    </row>
    <row r="360" ht="15.75" customHeight="1">
      <c r="A360" s="1"/>
      <c r="B360" s="1"/>
      <c r="C360" s="1"/>
    </row>
    <row r="361" ht="15.75" customHeight="1">
      <c r="A361" s="1"/>
      <c r="B361" s="1"/>
      <c r="C361" s="1"/>
    </row>
    <row r="362" ht="15.75" customHeight="1">
      <c r="A362" s="1"/>
      <c r="B362" s="1"/>
      <c r="C362" s="1"/>
    </row>
    <row r="363" ht="15.75" customHeight="1">
      <c r="A363" s="1"/>
      <c r="B363" s="1"/>
      <c r="C363" s="1"/>
    </row>
    <row r="364" ht="15.75" customHeight="1">
      <c r="A364" s="1"/>
      <c r="B364" s="1"/>
      <c r="C364" s="1"/>
    </row>
    <row r="365" ht="15.75" customHeight="1">
      <c r="A365" s="1"/>
      <c r="B365" s="1"/>
      <c r="C365" s="1"/>
    </row>
    <row r="366" ht="15.75" customHeight="1">
      <c r="A366" s="1"/>
      <c r="B366" s="1"/>
      <c r="C366" s="1"/>
    </row>
    <row r="367" ht="15.75" customHeight="1">
      <c r="A367" s="1"/>
      <c r="B367" s="1"/>
      <c r="C367" s="1"/>
    </row>
    <row r="368" ht="15.75" customHeight="1">
      <c r="A368" s="1"/>
      <c r="B368" s="1"/>
      <c r="C368" s="1"/>
    </row>
    <row r="369" ht="15.75" customHeight="1">
      <c r="A369" s="1"/>
      <c r="B369" s="1"/>
      <c r="C369" s="1"/>
    </row>
    <row r="370" ht="15.75" customHeight="1">
      <c r="A370" s="1"/>
      <c r="B370" s="1"/>
      <c r="C370" s="1"/>
    </row>
    <row r="371" ht="15.75" customHeight="1">
      <c r="A371" s="1"/>
      <c r="B371" s="1"/>
      <c r="C371" s="1"/>
    </row>
    <row r="372" ht="15.75" customHeight="1">
      <c r="A372" s="1"/>
      <c r="B372" s="1"/>
      <c r="C372" s="1"/>
    </row>
    <row r="373" ht="15.75" customHeight="1">
      <c r="A373" s="1"/>
      <c r="B373" s="1"/>
      <c r="C373" s="1"/>
    </row>
    <row r="374" ht="15.75" customHeight="1">
      <c r="A374" s="1"/>
      <c r="B374" s="1"/>
      <c r="C374" s="1"/>
    </row>
    <row r="375" ht="15.75" customHeight="1">
      <c r="A375" s="1"/>
      <c r="B375" s="1"/>
      <c r="C375" s="1"/>
    </row>
    <row r="376" ht="15.75" customHeight="1">
      <c r="A376" s="1"/>
      <c r="B376" s="1"/>
      <c r="C376" s="1"/>
    </row>
    <row r="377" ht="15.75" customHeight="1">
      <c r="A377" s="1"/>
      <c r="B377" s="1"/>
      <c r="C377" s="1"/>
    </row>
    <row r="378" ht="15.75" customHeight="1">
      <c r="A378" s="1"/>
      <c r="B378" s="1"/>
      <c r="C378" s="1"/>
    </row>
    <row r="379" ht="15.75" customHeight="1">
      <c r="A379" s="1"/>
      <c r="B379" s="1"/>
      <c r="C379" s="1"/>
    </row>
    <row r="380" ht="15.75" customHeight="1">
      <c r="A380" s="1"/>
      <c r="B380" s="1"/>
      <c r="C380" s="1"/>
    </row>
    <row r="381" ht="15.75" customHeight="1">
      <c r="A381" s="1"/>
      <c r="B381" s="1"/>
      <c r="C381" s="1"/>
    </row>
    <row r="382" ht="15.75" customHeight="1">
      <c r="A382" s="1"/>
      <c r="B382" s="1"/>
      <c r="C382" s="1"/>
    </row>
    <row r="383" ht="15.75" customHeight="1">
      <c r="A383" s="1"/>
      <c r="B383" s="1"/>
      <c r="C383" s="1"/>
    </row>
    <row r="384" ht="15.75" customHeight="1">
      <c r="A384" s="1"/>
      <c r="B384" s="1"/>
      <c r="C384" s="1"/>
    </row>
    <row r="385" ht="15.75" customHeight="1">
      <c r="A385" s="1"/>
      <c r="B385" s="1"/>
      <c r="C385" s="1"/>
    </row>
    <row r="386" ht="15.75" customHeight="1">
      <c r="A386" s="1"/>
      <c r="B386" s="1"/>
      <c r="C386" s="1"/>
    </row>
    <row r="387" ht="15.75" customHeight="1">
      <c r="A387" s="1"/>
      <c r="B387" s="1"/>
      <c r="C387" s="1"/>
    </row>
    <row r="388" ht="15.75" customHeight="1">
      <c r="A388" s="1"/>
      <c r="B388" s="1"/>
      <c r="C388" s="1"/>
    </row>
    <row r="389" ht="15.75" customHeight="1">
      <c r="A389" s="1"/>
      <c r="B389" s="1"/>
      <c r="C389" s="1"/>
    </row>
    <row r="390" ht="15.75" customHeight="1">
      <c r="A390" s="1"/>
      <c r="B390" s="1"/>
      <c r="C390" s="1"/>
    </row>
    <row r="391" ht="15.75" customHeight="1">
      <c r="A391" s="1"/>
      <c r="B391" s="1"/>
      <c r="C391" s="1"/>
    </row>
    <row r="392" ht="15.75" customHeight="1">
      <c r="A392" s="1"/>
      <c r="B392" s="1"/>
      <c r="C392" s="1"/>
    </row>
    <row r="393" ht="15.75" customHeight="1">
      <c r="A393" s="1"/>
      <c r="B393" s="1"/>
      <c r="C393" s="1"/>
    </row>
    <row r="394" ht="15.75" customHeight="1">
      <c r="A394" s="1"/>
      <c r="B394" s="1"/>
      <c r="C394" s="1"/>
    </row>
    <row r="395" ht="15.75" customHeight="1">
      <c r="A395" s="1"/>
      <c r="B395" s="1"/>
      <c r="C395" s="1"/>
    </row>
    <row r="396" ht="15.75" customHeight="1">
      <c r="A396" s="1"/>
      <c r="B396" s="1"/>
      <c r="C396" s="1"/>
    </row>
    <row r="397" ht="15.75" customHeight="1">
      <c r="A397" s="1"/>
      <c r="B397" s="1"/>
      <c r="C397" s="1"/>
    </row>
    <row r="398" ht="15.75" customHeight="1">
      <c r="A398" s="1"/>
      <c r="B398" s="1"/>
      <c r="C398" s="1"/>
    </row>
    <row r="399" ht="15.75" customHeight="1">
      <c r="A399" s="1"/>
      <c r="B399" s="1"/>
      <c r="C399" s="1"/>
    </row>
    <row r="400" ht="15.75" customHeight="1">
      <c r="A400" s="1"/>
      <c r="B400" s="1"/>
      <c r="C400" s="1"/>
    </row>
    <row r="401" ht="15.75" customHeight="1">
      <c r="A401" s="1"/>
      <c r="B401" s="1"/>
      <c r="C401" s="1"/>
    </row>
    <row r="402" ht="15.75" customHeight="1">
      <c r="A402" s="1"/>
      <c r="B402" s="1"/>
      <c r="C402" s="1"/>
    </row>
    <row r="403" ht="15.75" customHeight="1">
      <c r="A403" s="1"/>
      <c r="B403" s="1"/>
      <c r="C403" s="1"/>
    </row>
    <row r="404" ht="15.75" customHeight="1">
      <c r="A404" s="1"/>
      <c r="B404" s="1"/>
      <c r="C404" s="1"/>
    </row>
    <row r="405" ht="15.75" customHeight="1">
      <c r="A405" s="1"/>
      <c r="B405" s="1"/>
      <c r="C405" s="1"/>
    </row>
    <row r="406" ht="15.75" customHeight="1">
      <c r="A406" s="1"/>
      <c r="B406" s="1"/>
      <c r="C406" s="1"/>
    </row>
    <row r="407" ht="15.75" customHeight="1">
      <c r="A407" s="1"/>
      <c r="B407" s="1"/>
      <c r="C407" s="1"/>
    </row>
    <row r="408" ht="15.75" customHeight="1">
      <c r="A408" s="1"/>
      <c r="B408" s="1"/>
      <c r="C408" s="1"/>
    </row>
    <row r="409" ht="15.75" customHeight="1">
      <c r="A409" s="1"/>
      <c r="B409" s="1"/>
      <c r="C409" s="1"/>
    </row>
    <row r="410" ht="15.75" customHeight="1">
      <c r="A410" s="1"/>
      <c r="B410" s="1"/>
      <c r="C410" s="1"/>
    </row>
    <row r="411" ht="15.75" customHeight="1">
      <c r="A411" s="1"/>
      <c r="B411" s="1"/>
      <c r="C411" s="1"/>
    </row>
    <row r="412" ht="15.75" customHeight="1">
      <c r="A412" s="1"/>
      <c r="B412" s="1"/>
      <c r="C412" s="1"/>
    </row>
    <row r="413" ht="15.75" customHeight="1">
      <c r="A413" s="1"/>
      <c r="B413" s="1"/>
      <c r="C413" s="1"/>
    </row>
    <row r="414" ht="15.75" customHeight="1">
      <c r="A414" s="1"/>
      <c r="B414" s="1"/>
      <c r="C414" s="1"/>
    </row>
    <row r="415" ht="15.75" customHeight="1">
      <c r="A415" s="1"/>
      <c r="B415" s="1"/>
      <c r="C415" s="1"/>
    </row>
    <row r="416" ht="15.75" customHeight="1">
      <c r="A416" s="1"/>
      <c r="B416" s="1"/>
      <c r="C416" s="1"/>
    </row>
    <row r="417" ht="15.75" customHeight="1">
      <c r="A417" s="1"/>
      <c r="B417" s="1"/>
      <c r="C417" s="1"/>
    </row>
    <row r="418" ht="15.75" customHeight="1">
      <c r="A418" s="1"/>
      <c r="B418" s="1"/>
      <c r="C418" s="1"/>
    </row>
    <row r="419" ht="15.75" customHeight="1">
      <c r="A419" s="1"/>
      <c r="B419" s="1"/>
      <c r="C419" s="1"/>
    </row>
    <row r="420" ht="15.75" customHeight="1">
      <c r="A420" s="1"/>
      <c r="B420" s="1"/>
      <c r="C420" s="1"/>
    </row>
    <row r="421" ht="15.75" customHeight="1">
      <c r="A421" s="1"/>
      <c r="B421" s="1"/>
      <c r="C421" s="1"/>
    </row>
    <row r="422" ht="15.75" customHeight="1">
      <c r="A422" s="1"/>
      <c r="B422" s="1"/>
      <c r="C422" s="1"/>
    </row>
    <row r="423" ht="15.75" customHeight="1">
      <c r="A423" s="1"/>
      <c r="B423" s="1"/>
      <c r="C423" s="1"/>
    </row>
    <row r="424" ht="15.75" customHeight="1">
      <c r="A424" s="1"/>
      <c r="B424" s="1"/>
      <c r="C424" s="1"/>
    </row>
    <row r="425" ht="15.75" customHeight="1">
      <c r="A425" s="1"/>
      <c r="B425" s="1"/>
      <c r="C425" s="1"/>
    </row>
    <row r="426" ht="15.75" customHeight="1">
      <c r="A426" s="1"/>
      <c r="B426" s="1"/>
      <c r="C426" s="1"/>
    </row>
    <row r="427" ht="15.75" customHeight="1">
      <c r="A427" s="1"/>
      <c r="B427" s="1"/>
      <c r="C427" s="1"/>
    </row>
    <row r="428" ht="15.75" customHeight="1">
      <c r="A428" s="1"/>
      <c r="B428" s="1"/>
      <c r="C428" s="1"/>
    </row>
    <row r="429" ht="15.75" customHeight="1">
      <c r="A429" s="1"/>
      <c r="B429" s="1"/>
      <c r="C429" s="1"/>
    </row>
    <row r="430" ht="15.75" customHeight="1">
      <c r="A430" s="1"/>
      <c r="B430" s="1"/>
      <c r="C430" s="1"/>
    </row>
    <row r="431" ht="15.75" customHeight="1">
      <c r="A431" s="1"/>
      <c r="B431" s="1"/>
      <c r="C431" s="1"/>
    </row>
    <row r="432" ht="15.75" customHeight="1">
      <c r="A432" s="1"/>
      <c r="B432" s="1"/>
      <c r="C432" s="1"/>
    </row>
    <row r="433" ht="15.75" customHeight="1">
      <c r="A433" s="1"/>
      <c r="B433" s="1"/>
      <c r="C433" s="1"/>
    </row>
    <row r="434" ht="15.75" customHeight="1">
      <c r="A434" s="1"/>
      <c r="B434" s="1"/>
      <c r="C434" s="1"/>
    </row>
    <row r="435" ht="15.75" customHeight="1">
      <c r="A435" s="1"/>
      <c r="B435" s="1"/>
      <c r="C435" s="1"/>
    </row>
    <row r="436" ht="15.75" customHeight="1">
      <c r="A436" s="1"/>
      <c r="B436" s="1"/>
      <c r="C436" s="1"/>
    </row>
    <row r="437" ht="15.75" customHeight="1">
      <c r="A437" s="1"/>
      <c r="B437" s="1"/>
      <c r="C437" s="1"/>
    </row>
    <row r="438" ht="15.75" customHeight="1">
      <c r="A438" s="1"/>
      <c r="B438" s="1"/>
      <c r="C438" s="1"/>
    </row>
    <row r="439" ht="15.75" customHeight="1">
      <c r="A439" s="1"/>
      <c r="B439" s="1"/>
      <c r="C439" s="1"/>
    </row>
    <row r="440" ht="15.75" customHeight="1">
      <c r="A440" s="1"/>
      <c r="B440" s="1"/>
      <c r="C440" s="1"/>
    </row>
    <row r="441" ht="15.75" customHeight="1">
      <c r="A441" s="1"/>
      <c r="B441" s="1"/>
      <c r="C441" s="1"/>
    </row>
    <row r="442" ht="15.75" customHeight="1">
      <c r="A442" s="1"/>
      <c r="B442" s="1"/>
      <c r="C442" s="1"/>
    </row>
    <row r="443" ht="15.75" customHeight="1">
      <c r="A443" s="1"/>
      <c r="B443" s="1"/>
      <c r="C443" s="1"/>
    </row>
    <row r="444" ht="15.75" customHeight="1">
      <c r="A444" s="1"/>
      <c r="B444" s="1"/>
      <c r="C444" s="1"/>
    </row>
    <row r="445" ht="15.75" customHeight="1">
      <c r="A445" s="1"/>
      <c r="B445" s="1"/>
      <c r="C445" s="1"/>
    </row>
    <row r="446" ht="15.75" customHeight="1">
      <c r="A446" s="1"/>
      <c r="B446" s="1"/>
      <c r="C446" s="1"/>
    </row>
    <row r="447" ht="15.75" customHeight="1">
      <c r="A447" s="1"/>
      <c r="B447" s="1"/>
      <c r="C447" s="1"/>
    </row>
    <row r="448" ht="15.75" customHeight="1">
      <c r="A448" s="1"/>
      <c r="B448" s="1"/>
      <c r="C448" s="1"/>
    </row>
    <row r="449" ht="15.75" customHeight="1">
      <c r="A449" s="1"/>
      <c r="B449" s="1"/>
      <c r="C449" s="1"/>
    </row>
    <row r="450" ht="15.75" customHeight="1">
      <c r="A450" s="1"/>
      <c r="B450" s="1"/>
      <c r="C450" s="1"/>
    </row>
    <row r="451" ht="15.75" customHeight="1">
      <c r="A451" s="1"/>
      <c r="B451" s="1"/>
      <c r="C451" s="1"/>
    </row>
    <row r="452" ht="15.75" customHeight="1">
      <c r="A452" s="1"/>
      <c r="B452" s="1"/>
      <c r="C452" s="1"/>
    </row>
    <row r="453" ht="15.75" customHeight="1">
      <c r="A453" s="1"/>
      <c r="B453" s="1"/>
      <c r="C453" s="1"/>
    </row>
    <row r="454" ht="15.75" customHeight="1">
      <c r="A454" s="1"/>
      <c r="B454" s="1"/>
      <c r="C454" s="1"/>
    </row>
    <row r="455" ht="15.75" customHeight="1">
      <c r="A455" s="1"/>
      <c r="B455" s="1"/>
      <c r="C455" s="1"/>
    </row>
    <row r="456" ht="15.75" customHeight="1">
      <c r="A456" s="1"/>
      <c r="B456" s="1"/>
      <c r="C456" s="1"/>
    </row>
    <row r="457" ht="15.75" customHeight="1">
      <c r="A457" s="1"/>
      <c r="B457" s="1"/>
      <c r="C457" s="1"/>
    </row>
    <row r="458" ht="15.75" customHeight="1">
      <c r="A458" s="1"/>
      <c r="B458" s="1"/>
      <c r="C458" s="1"/>
    </row>
    <row r="459" ht="15.75" customHeight="1">
      <c r="A459" s="1"/>
      <c r="B459" s="1"/>
      <c r="C459" s="1"/>
    </row>
    <row r="460" ht="15.75" customHeight="1">
      <c r="A460" s="1"/>
      <c r="B460" s="1"/>
      <c r="C460" s="1"/>
    </row>
    <row r="461" ht="15.75" customHeight="1">
      <c r="A461" s="1"/>
      <c r="B461" s="1"/>
      <c r="C461" s="1"/>
    </row>
    <row r="462" ht="15.75" customHeight="1">
      <c r="A462" s="1"/>
      <c r="B462" s="1"/>
      <c r="C462" s="1"/>
    </row>
    <row r="463" ht="15.75" customHeight="1">
      <c r="A463" s="1"/>
      <c r="B463" s="1"/>
      <c r="C463" s="1"/>
    </row>
    <row r="464" ht="15.75" customHeight="1">
      <c r="A464" s="1"/>
      <c r="B464" s="1"/>
      <c r="C464" s="1"/>
    </row>
    <row r="465" ht="15.75" customHeight="1">
      <c r="A465" s="1"/>
      <c r="B465" s="1"/>
      <c r="C465" s="1"/>
    </row>
    <row r="466" ht="15.75" customHeight="1">
      <c r="A466" s="1"/>
      <c r="B466" s="1"/>
      <c r="C466" s="1"/>
    </row>
    <row r="467" ht="15.75" customHeight="1">
      <c r="A467" s="1"/>
      <c r="B467" s="1"/>
      <c r="C467" s="1"/>
    </row>
    <row r="468" ht="15.75" customHeight="1">
      <c r="A468" s="1"/>
      <c r="B468" s="1"/>
      <c r="C468" s="1"/>
    </row>
    <row r="469" ht="15.75" customHeight="1">
      <c r="A469" s="1"/>
      <c r="B469" s="1"/>
      <c r="C469" s="1"/>
    </row>
    <row r="470" ht="15.75" customHeight="1">
      <c r="A470" s="1"/>
      <c r="B470" s="1"/>
      <c r="C470" s="1"/>
    </row>
    <row r="471" ht="15.75" customHeight="1">
      <c r="A471" s="1"/>
      <c r="B471" s="1"/>
      <c r="C471" s="1"/>
    </row>
    <row r="472" ht="15.75" customHeight="1">
      <c r="A472" s="1"/>
      <c r="B472" s="1"/>
      <c r="C472" s="1"/>
    </row>
    <row r="473" ht="15.75" customHeight="1">
      <c r="A473" s="1"/>
      <c r="B473" s="1"/>
      <c r="C473" s="1"/>
    </row>
    <row r="474" ht="15.75" customHeight="1">
      <c r="A474" s="1"/>
      <c r="B474" s="1"/>
      <c r="C474" s="1"/>
    </row>
    <row r="475" ht="15.75" customHeight="1">
      <c r="A475" s="1"/>
      <c r="B475" s="1"/>
      <c r="C475" s="1"/>
    </row>
    <row r="476" ht="15.75" customHeight="1">
      <c r="A476" s="1"/>
      <c r="B476" s="1"/>
      <c r="C476" s="1"/>
    </row>
    <row r="477" ht="15.75" customHeight="1">
      <c r="A477" s="1"/>
      <c r="B477" s="1"/>
      <c r="C477" s="1"/>
    </row>
    <row r="478" ht="15.75" customHeight="1">
      <c r="A478" s="1"/>
      <c r="B478" s="1"/>
      <c r="C478" s="1"/>
    </row>
    <row r="479" ht="15.75" customHeight="1">
      <c r="A479" s="1"/>
      <c r="B479" s="1"/>
      <c r="C479" s="1"/>
    </row>
    <row r="480" ht="15.75" customHeight="1">
      <c r="A480" s="1"/>
      <c r="B480" s="1"/>
      <c r="C480" s="1"/>
    </row>
    <row r="481" ht="15.75" customHeight="1">
      <c r="A481" s="1"/>
      <c r="B481" s="1"/>
      <c r="C481" s="1"/>
    </row>
    <row r="482" ht="15.75" customHeight="1">
      <c r="A482" s="1"/>
      <c r="B482" s="1"/>
      <c r="C482" s="1"/>
    </row>
    <row r="483" ht="15.75" customHeight="1">
      <c r="A483" s="1"/>
      <c r="B483" s="1"/>
      <c r="C483" s="1"/>
    </row>
    <row r="484" ht="15.75" customHeight="1">
      <c r="A484" s="1"/>
      <c r="B484" s="1"/>
      <c r="C484" s="1"/>
    </row>
    <row r="485" ht="15.75" customHeight="1">
      <c r="A485" s="1"/>
      <c r="B485" s="1"/>
      <c r="C485" s="1"/>
    </row>
    <row r="486" ht="15.75" customHeight="1">
      <c r="A486" s="1"/>
      <c r="B486" s="1"/>
      <c r="C486" s="1"/>
    </row>
    <row r="487" ht="15.75" customHeight="1">
      <c r="A487" s="1"/>
      <c r="B487" s="1"/>
      <c r="C487" s="1"/>
    </row>
    <row r="488" ht="15.75" customHeight="1">
      <c r="A488" s="1"/>
      <c r="B488" s="1"/>
      <c r="C488" s="1"/>
    </row>
    <row r="489" ht="15.75" customHeight="1">
      <c r="A489" s="1"/>
      <c r="B489" s="1"/>
      <c r="C489" s="1"/>
    </row>
    <row r="490" ht="15.75" customHeight="1">
      <c r="A490" s="1"/>
      <c r="B490" s="1"/>
      <c r="C490" s="1"/>
    </row>
    <row r="491" ht="15.75" customHeight="1">
      <c r="A491" s="1"/>
      <c r="B491" s="1"/>
      <c r="C491" s="1"/>
    </row>
    <row r="492" ht="15.75" customHeight="1">
      <c r="A492" s="1"/>
      <c r="B492" s="1"/>
      <c r="C492" s="1"/>
    </row>
    <row r="493" ht="15.75" customHeight="1">
      <c r="A493" s="1"/>
      <c r="B493" s="1"/>
      <c r="C493" s="1"/>
    </row>
    <row r="494" ht="15.75" customHeight="1">
      <c r="A494" s="1"/>
      <c r="B494" s="1"/>
      <c r="C494" s="1"/>
    </row>
    <row r="495" ht="15.75" customHeight="1">
      <c r="A495" s="1"/>
      <c r="B495" s="1"/>
      <c r="C495" s="1"/>
    </row>
    <row r="496" ht="15.75" customHeight="1">
      <c r="A496" s="1"/>
      <c r="B496" s="1"/>
      <c r="C496" s="1"/>
    </row>
    <row r="497" ht="15.75" customHeight="1">
      <c r="A497" s="1"/>
      <c r="B497" s="1"/>
      <c r="C497" s="1"/>
    </row>
    <row r="498" ht="15.75" customHeight="1">
      <c r="A498" s="1"/>
      <c r="B498" s="1"/>
      <c r="C498" s="1"/>
    </row>
    <row r="499" ht="15.75" customHeight="1">
      <c r="A499" s="1"/>
      <c r="B499" s="1"/>
      <c r="C499" s="1"/>
    </row>
    <row r="500" ht="15.75" customHeight="1">
      <c r="A500" s="1"/>
      <c r="B500" s="1"/>
      <c r="C500" s="1"/>
    </row>
    <row r="501" ht="15.75" customHeight="1">
      <c r="A501" s="1"/>
      <c r="B501" s="1"/>
      <c r="C501" s="1"/>
    </row>
    <row r="502" ht="15.75" customHeight="1">
      <c r="A502" s="1"/>
      <c r="B502" s="1"/>
      <c r="C502" s="1"/>
    </row>
    <row r="503" ht="15.75" customHeight="1">
      <c r="A503" s="1"/>
      <c r="B503" s="1"/>
      <c r="C503" s="1"/>
    </row>
    <row r="504" ht="15.75" customHeight="1">
      <c r="A504" s="1"/>
      <c r="B504" s="1"/>
      <c r="C504" s="1"/>
    </row>
    <row r="505" ht="15.75" customHeight="1">
      <c r="A505" s="1"/>
      <c r="B505" s="1"/>
      <c r="C505" s="1"/>
    </row>
    <row r="506" ht="15.75" customHeight="1">
      <c r="A506" s="1"/>
      <c r="B506" s="1"/>
      <c r="C506" s="1"/>
    </row>
    <row r="507" ht="15.75" customHeight="1">
      <c r="A507" s="1"/>
      <c r="B507" s="1"/>
      <c r="C507" s="1"/>
    </row>
    <row r="508" ht="15.75" customHeight="1">
      <c r="A508" s="1"/>
      <c r="B508" s="1"/>
      <c r="C508" s="1"/>
    </row>
    <row r="509" ht="15.75" customHeight="1">
      <c r="A509" s="1"/>
      <c r="B509" s="1"/>
      <c r="C509" s="1"/>
    </row>
    <row r="510" ht="15.75" customHeight="1">
      <c r="A510" s="1"/>
      <c r="B510" s="1"/>
      <c r="C510" s="1"/>
    </row>
    <row r="511" ht="15.75" customHeight="1">
      <c r="A511" s="1"/>
      <c r="B511" s="1"/>
      <c r="C511" s="1"/>
    </row>
    <row r="512" ht="15.75" customHeight="1">
      <c r="A512" s="1"/>
      <c r="B512" s="1"/>
      <c r="C512" s="1"/>
    </row>
    <row r="513" ht="15.75" customHeight="1">
      <c r="A513" s="1"/>
      <c r="B513" s="1"/>
      <c r="C513" s="1"/>
    </row>
    <row r="514" ht="15.75" customHeight="1">
      <c r="A514" s="1"/>
      <c r="B514" s="1"/>
      <c r="C514" s="1"/>
    </row>
    <row r="515" ht="15.75" customHeight="1">
      <c r="A515" s="1"/>
      <c r="B515" s="1"/>
      <c r="C515" s="1"/>
    </row>
    <row r="516" ht="15.75" customHeight="1">
      <c r="A516" s="1"/>
      <c r="B516" s="1"/>
      <c r="C516" s="1"/>
    </row>
    <row r="517" ht="15.75" customHeight="1">
      <c r="A517" s="1"/>
      <c r="B517" s="1"/>
      <c r="C517" s="1"/>
    </row>
    <row r="518" ht="15.75" customHeight="1">
      <c r="A518" s="1"/>
      <c r="B518" s="1"/>
      <c r="C518" s="1"/>
    </row>
    <row r="519" ht="15.75" customHeight="1">
      <c r="A519" s="1"/>
      <c r="B519" s="1"/>
      <c r="C519" s="1"/>
    </row>
    <row r="520" ht="15.75" customHeight="1">
      <c r="A520" s="1"/>
      <c r="B520" s="1"/>
      <c r="C520" s="1"/>
    </row>
    <row r="521" ht="15.75" customHeight="1">
      <c r="A521" s="1"/>
      <c r="B521" s="1"/>
      <c r="C521" s="1"/>
    </row>
    <row r="522" ht="15.75" customHeight="1">
      <c r="A522" s="1"/>
      <c r="B522" s="1"/>
      <c r="C522" s="1"/>
    </row>
    <row r="523" ht="15.75" customHeight="1">
      <c r="A523" s="1"/>
      <c r="B523" s="1"/>
      <c r="C523" s="1"/>
    </row>
    <row r="524" ht="15.75" customHeight="1">
      <c r="A524" s="1"/>
      <c r="B524" s="1"/>
      <c r="C524" s="1"/>
    </row>
    <row r="525" ht="15.75" customHeight="1">
      <c r="A525" s="1"/>
      <c r="B525" s="1"/>
      <c r="C525" s="1"/>
    </row>
    <row r="526" ht="15.75" customHeight="1">
      <c r="A526" s="1"/>
      <c r="B526" s="1"/>
      <c r="C526" s="1"/>
    </row>
    <row r="527" ht="15.75" customHeight="1">
      <c r="A527" s="1"/>
      <c r="B527" s="1"/>
      <c r="C527" s="1"/>
    </row>
    <row r="528" ht="15.75" customHeight="1">
      <c r="A528" s="1"/>
      <c r="B528" s="1"/>
      <c r="C528" s="1"/>
    </row>
    <row r="529" ht="15.75" customHeight="1">
      <c r="A529" s="1"/>
      <c r="B529" s="1"/>
      <c r="C529" s="1"/>
    </row>
    <row r="530" ht="15.75" customHeight="1">
      <c r="A530" s="1"/>
      <c r="B530" s="1"/>
      <c r="C530" s="1"/>
    </row>
    <row r="531" ht="15.75" customHeight="1">
      <c r="A531" s="1"/>
      <c r="B531" s="1"/>
      <c r="C531" s="1"/>
    </row>
    <row r="532" ht="15.75" customHeight="1">
      <c r="A532" s="1"/>
      <c r="B532" s="1"/>
      <c r="C532" s="1"/>
    </row>
    <row r="533" ht="15.75" customHeight="1">
      <c r="A533" s="1"/>
      <c r="B533" s="1"/>
      <c r="C533" s="1"/>
    </row>
    <row r="534" ht="15.75" customHeight="1">
      <c r="A534" s="1"/>
      <c r="B534" s="1"/>
      <c r="C534" s="1"/>
    </row>
    <row r="535" ht="15.75" customHeight="1">
      <c r="A535" s="1"/>
      <c r="B535" s="1"/>
      <c r="C535" s="1"/>
    </row>
    <row r="536" ht="15.75" customHeight="1">
      <c r="A536" s="1"/>
      <c r="B536" s="1"/>
      <c r="C536" s="1"/>
    </row>
    <row r="537" ht="15.75" customHeight="1">
      <c r="A537" s="1"/>
      <c r="B537" s="1"/>
      <c r="C537" s="1"/>
    </row>
    <row r="538" ht="15.75" customHeight="1">
      <c r="A538" s="1"/>
      <c r="B538" s="1"/>
      <c r="C538" s="1"/>
    </row>
    <row r="539" ht="15.75" customHeight="1">
      <c r="A539" s="1"/>
      <c r="B539" s="1"/>
      <c r="C539" s="1"/>
    </row>
    <row r="540" ht="15.75" customHeight="1">
      <c r="A540" s="1"/>
      <c r="B540" s="1"/>
      <c r="C540" s="1"/>
    </row>
    <row r="541" ht="15.75" customHeight="1">
      <c r="A541" s="1"/>
      <c r="B541" s="1"/>
      <c r="C541" s="1"/>
    </row>
    <row r="542" ht="15.75" customHeight="1">
      <c r="A542" s="1"/>
      <c r="B542" s="1"/>
      <c r="C542" s="1"/>
    </row>
    <row r="543" ht="15.75" customHeight="1">
      <c r="A543" s="1"/>
      <c r="B543" s="1"/>
      <c r="C543" s="1"/>
    </row>
    <row r="544" ht="15.75" customHeight="1">
      <c r="A544" s="1"/>
      <c r="B544" s="1"/>
      <c r="C544" s="1"/>
    </row>
    <row r="545" ht="15.75" customHeight="1">
      <c r="A545" s="1"/>
      <c r="B545" s="1"/>
      <c r="C545" s="1"/>
    </row>
    <row r="546" ht="15.75" customHeight="1">
      <c r="A546" s="1"/>
      <c r="B546" s="1"/>
      <c r="C546" s="1"/>
    </row>
    <row r="547" ht="15.75" customHeight="1">
      <c r="A547" s="1"/>
      <c r="B547" s="1"/>
      <c r="C547" s="1"/>
    </row>
    <row r="548" ht="15.75" customHeight="1">
      <c r="A548" s="1"/>
      <c r="B548" s="1"/>
      <c r="C548" s="1"/>
    </row>
    <row r="549" ht="15.75" customHeight="1">
      <c r="A549" s="1"/>
      <c r="B549" s="1"/>
      <c r="C549" s="1"/>
    </row>
    <row r="550" ht="15.75" customHeight="1">
      <c r="A550" s="1"/>
      <c r="B550" s="1"/>
      <c r="C550" s="1"/>
    </row>
    <row r="551" ht="15.75" customHeight="1">
      <c r="A551" s="1"/>
      <c r="B551" s="1"/>
      <c r="C551" s="1"/>
    </row>
    <row r="552" ht="15.75" customHeight="1">
      <c r="A552" s="1"/>
      <c r="B552" s="1"/>
      <c r="C552" s="1"/>
    </row>
    <row r="553" ht="15.75" customHeight="1">
      <c r="A553" s="1"/>
      <c r="B553" s="1"/>
      <c r="C553" s="1"/>
    </row>
    <row r="554" ht="15.75" customHeight="1">
      <c r="A554" s="1"/>
      <c r="B554" s="1"/>
      <c r="C554" s="1"/>
    </row>
    <row r="555" ht="15.75" customHeight="1">
      <c r="A555" s="1"/>
      <c r="B555" s="1"/>
      <c r="C555" s="1"/>
    </row>
    <row r="556" ht="15.75" customHeight="1">
      <c r="A556" s="1"/>
      <c r="B556" s="1"/>
      <c r="C556" s="1"/>
    </row>
    <row r="557" ht="15.75" customHeight="1">
      <c r="A557" s="1"/>
      <c r="B557" s="1"/>
      <c r="C557" s="1"/>
    </row>
    <row r="558" ht="15.75" customHeight="1">
      <c r="A558" s="1"/>
      <c r="B558" s="1"/>
      <c r="C558" s="1"/>
    </row>
    <row r="559" ht="15.75" customHeight="1">
      <c r="A559" s="1"/>
      <c r="B559" s="1"/>
      <c r="C559" s="1"/>
    </row>
    <row r="560" ht="15.75" customHeight="1">
      <c r="A560" s="1"/>
      <c r="B560" s="1"/>
      <c r="C560" s="1"/>
    </row>
    <row r="561" ht="15.75" customHeight="1">
      <c r="A561" s="1"/>
      <c r="B561" s="1"/>
      <c r="C561" s="1"/>
    </row>
    <row r="562" ht="15.75" customHeight="1">
      <c r="A562" s="1"/>
      <c r="B562" s="1"/>
      <c r="C562" s="1"/>
    </row>
    <row r="563" ht="15.75" customHeight="1">
      <c r="A563" s="1"/>
      <c r="B563" s="1"/>
      <c r="C563" s="1"/>
    </row>
    <row r="564" ht="15.75" customHeight="1">
      <c r="A564" s="1"/>
      <c r="B564" s="1"/>
      <c r="C564" s="1"/>
    </row>
    <row r="565" ht="15.75" customHeight="1">
      <c r="A565" s="1"/>
      <c r="B565" s="1"/>
      <c r="C565" s="1"/>
    </row>
    <row r="566" ht="15.75" customHeight="1">
      <c r="A566" s="1"/>
      <c r="B566" s="1"/>
      <c r="C566" s="1"/>
    </row>
    <row r="567" ht="15.75" customHeight="1">
      <c r="A567" s="1"/>
      <c r="B567" s="1"/>
      <c r="C567" s="1"/>
    </row>
    <row r="568" ht="15.75" customHeight="1">
      <c r="A568" s="1"/>
      <c r="B568" s="1"/>
      <c r="C568" s="1"/>
    </row>
    <row r="569" ht="15.75" customHeight="1">
      <c r="A569" s="1"/>
      <c r="B569" s="1"/>
      <c r="C569" s="1"/>
    </row>
    <row r="570" ht="15.75" customHeight="1">
      <c r="A570" s="1"/>
      <c r="B570" s="1"/>
      <c r="C570" s="1"/>
    </row>
    <row r="571" ht="15.75" customHeight="1">
      <c r="A571" s="1"/>
      <c r="B571" s="1"/>
      <c r="C571" s="1"/>
    </row>
    <row r="572" ht="15.75" customHeight="1">
      <c r="A572" s="1"/>
      <c r="B572" s="1"/>
      <c r="C572" s="1"/>
    </row>
    <row r="573" ht="15.75" customHeight="1">
      <c r="A573" s="1"/>
      <c r="B573" s="1"/>
      <c r="C573" s="1"/>
    </row>
    <row r="574" ht="15.75" customHeight="1">
      <c r="A574" s="1"/>
      <c r="B574" s="1"/>
      <c r="C574" s="1"/>
    </row>
    <row r="575" ht="15.75" customHeight="1">
      <c r="A575" s="1"/>
      <c r="B575" s="1"/>
      <c r="C575" s="1"/>
    </row>
    <row r="576" ht="15.75" customHeight="1">
      <c r="A576" s="1"/>
      <c r="B576" s="1"/>
      <c r="C576" s="1"/>
    </row>
    <row r="577" ht="15.75" customHeight="1">
      <c r="A577" s="1"/>
      <c r="B577" s="1"/>
      <c r="C577" s="1"/>
    </row>
    <row r="578" ht="15.75" customHeight="1">
      <c r="A578" s="1"/>
      <c r="B578" s="1"/>
      <c r="C578" s="1"/>
    </row>
    <row r="579" ht="15.75" customHeight="1">
      <c r="A579" s="1"/>
      <c r="B579" s="1"/>
      <c r="C579" s="1"/>
    </row>
    <row r="580" ht="15.75" customHeight="1">
      <c r="A580" s="1"/>
      <c r="B580" s="1"/>
      <c r="C580" s="1"/>
    </row>
    <row r="581" ht="15.75" customHeight="1">
      <c r="A581" s="1"/>
      <c r="B581" s="1"/>
      <c r="C581" s="1"/>
    </row>
    <row r="582" ht="15.75" customHeight="1">
      <c r="A582" s="1"/>
      <c r="B582" s="1"/>
      <c r="C582" s="1"/>
    </row>
    <row r="583" ht="15.75" customHeight="1">
      <c r="A583" s="1"/>
      <c r="B583" s="1"/>
      <c r="C583" s="1"/>
    </row>
    <row r="584" ht="15.75" customHeight="1">
      <c r="A584" s="1"/>
      <c r="B584" s="1"/>
      <c r="C584" s="1"/>
    </row>
    <row r="585" ht="15.75" customHeight="1">
      <c r="A585" s="1"/>
      <c r="B585" s="1"/>
      <c r="C585" s="1"/>
    </row>
    <row r="586" ht="15.75" customHeight="1">
      <c r="A586" s="1"/>
      <c r="B586" s="1"/>
      <c r="C586" s="1"/>
    </row>
    <row r="587" ht="15.75" customHeight="1">
      <c r="A587" s="1"/>
      <c r="B587" s="1"/>
      <c r="C587" s="1"/>
    </row>
    <row r="588" ht="15.75" customHeight="1">
      <c r="A588" s="1"/>
      <c r="B588" s="1"/>
      <c r="C588" s="1"/>
    </row>
    <row r="589" ht="15.75" customHeight="1">
      <c r="A589" s="1"/>
      <c r="B589" s="1"/>
      <c r="C589" s="1"/>
    </row>
    <row r="590" ht="15.75" customHeight="1">
      <c r="A590" s="1"/>
      <c r="B590" s="1"/>
      <c r="C590" s="1"/>
    </row>
    <row r="591" ht="15.75" customHeight="1">
      <c r="A591" s="1"/>
      <c r="B591" s="1"/>
      <c r="C591" s="1"/>
    </row>
    <row r="592" ht="15.75" customHeight="1">
      <c r="A592" s="1"/>
      <c r="B592" s="1"/>
      <c r="C592" s="1"/>
    </row>
    <row r="593" ht="15.75" customHeight="1">
      <c r="A593" s="1"/>
      <c r="B593" s="1"/>
      <c r="C593" s="1"/>
    </row>
    <row r="594" ht="15.75" customHeight="1">
      <c r="A594" s="1"/>
      <c r="B594" s="1"/>
      <c r="C594" s="1"/>
    </row>
    <row r="595" ht="15.75" customHeight="1">
      <c r="A595" s="1"/>
      <c r="B595" s="1"/>
      <c r="C595" s="1"/>
    </row>
    <row r="596" ht="15.75" customHeight="1">
      <c r="A596" s="1"/>
      <c r="B596" s="1"/>
      <c r="C596" s="1"/>
    </row>
    <row r="597" ht="15.75" customHeight="1">
      <c r="A597" s="1"/>
      <c r="B597" s="1"/>
      <c r="C597" s="1"/>
    </row>
    <row r="598" ht="15.75" customHeight="1">
      <c r="A598" s="1"/>
      <c r="B598" s="1"/>
      <c r="C598" s="1"/>
    </row>
    <row r="599" ht="15.75" customHeight="1">
      <c r="A599" s="1"/>
      <c r="B599" s="1"/>
      <c r="C599" s="1"/>
    </row>
    <row r="600" ht="15.75" customHeight="1">
      <c r="A600" s="1"/>
      <c r="B600" s="1"/>
      <c r="C600" s="1"/>
    </row>
    <row r="601" ht="15.75" customHeight="1">
      <c r="A601" s="1"/>
      <c r="B601" s="1"/>
      <c r="C601" s="1"/>
    </row>
    <row r="602" ht="15.75" customHeight="1">
      <c r="A602" s="1"/>
      <c r="B602" s="1"/>
      <c r="C602" s="1"/>
    </row>
    <row r="603" ht="15.75" customHeight="1">
      <c r="A603" s="1"/>
      <c r="B603" s="1"/>
      <c r="C603" s="1"/>
    </row>
    <row r="604" ht="15.75" customHeight="1">
      <c r="A604" s="1"/>
      <c r="B604" s="1"/>
      <c r="C604" s="1"/>
    </row>
    <row r="605" ht="15.75" customHeight="1">
      <c r="A605" s="1"/>
      <c r="B605" s="1"/>
      <c r="C605" s="1"/>
    </row>
    <row r="606" ht="15.75" customHeight="1">
      <c r="A606" s="1"/>
      <c r="B606" s="1"/>
      <c r="C606" s="1"/>
    </row>
    <row r="607" ht="15.75" customHeight="1">
      <c r="A607" s="1"/>
      <c r="B607" s="1"/>
      <c r="C607" s="1"/>
    </row>
    <row r="608" ht="15.75" customHeight="1">
      <c r="A608" s="1"/>
      <c r="B608" s="1"/>
      <c r="C608" s="1"/>
    </row>
    <row r="609" ht="15.75" customHeight="1">
      <c r="A609" s="1"/>
      <c r="B609" s="1"/>
      <c r="C609" s="1"/>
    </row>
    <row r="610" ht="15.75" customHeight="1">
      <c r="A610" s="1"/>
      <c r="B610" s="1"/>
      <c r="C610" s="1"/>
    </row>
    <row r="611" ht="15.75" customHeight="1">
      <c r="A611" s="1"/>
      <c r="B611" s="1"/>
      <c r="C611" s="1"/>
    </row>
    <row r="612" ht="15.75" customHeight="1">
      <c r="A612" s="1"/>
      <c r="B612" s="1"/>
      <c r="C612" s="1"/>
    </row>
    <row r="613" ht="15.75" customHeight="1">
      <c r="A613" s="1"/>
      <c r="B613" s="1"/>
      <c r="C613" s="1"/>
    </row>
    <row r="614" ht="15.75" customHeight="1">
      <c r="A614" s="1"/>
      <c r="B614" s="1"/>
      <c r="C614" s="1"/>
    </row>
    <row r="615" ht="15.75" customHeight="1">
      <c r="A615" s="1"/>
      <c r="B615" s="1"/>
      <c r="C615" s="1"/>
    </row>
    <row r="616" ht="15.75" customHeight="1">
      <c r="A616" s="1"/>
      <c r="B616" s="1"/>
      <c r="C616" s="1"/>
    </row>
    <row r="617" ht="15.75" customHeight="1">
      <c r="A617" s="1"/>
      <c r="B617" s="1"/>
      <c r="C617" s="1"/>
    </row>
    <row r="618" ht="15.75" customHeight="1">
      <c r="A618" s="1"/>
      <c r="B618" s="1"/>
      <c r="C618" s="1"/>
    </row>
    <row r="619" ht="15.75" customHeight="1">
      <c r="A619" s="1"/>
      <c r="B619" s="1"/>
      <c r="C619" s="1"/>
    </row>
    <row r="620" ht="15.75" customHeight="1">
      <c r="A620" s="1"/>
      <c r="B620" s="1"/>
      <c r="C620" s="1"/>
    </row>
    <row r="621" ht="15.75" customHeight="1">
      <c r="A621" s="1"/>
      <c r="B621" s="1"/>
      <c r="C621" s="1"/>
    </row>
    <row r="622" ht="15.75" customHeight="1">
      <c r="A622" s="1"/>
      <c r="B622" s="1"/>
      <c r="C622" s="1"/>
    </row>
    <row r="623" ht="15.75" customHeight="1">
      <c r="A623" s="1"/>
      <c r="B623" s="1"/>
      <c r="C623" s="1"/>
    </row>
    <row r="624" ht="15.75" customHeight="1">
      <c r="A624" s="1"/>
      <c r="B624" s="1"/>
      <c r="C624" s="1"/>
    </row>
    <row r="625" ht="15.75" customHeight="1">
      <c r="A625" s="1"/>
      <c r="B625" s="1"/>
      <c r="C625" s="1"/>
    </row>
    <row r="626" ht="15.75" customHeight="1">
      <c r="A626" s="1"/>
      <c r="B626" s="1"/>
      <c r="C626" s="1"/>
    </row>
    <row r="627" ht="15.75" customHeight="1">
      <c r="A627" s="1"/>
      <c r="B627" s="1"/>
      <c r="C627" s="1"/>
    </row>
    <row r="628" ht="15.75" customHeight="1">
      <c r="A628" s="1"/>
      <c r="B628" s="1"/>
      <c r="C628" s="1"/>
    </row>
    <row r="629" ht="15.75" customHeight="1">
      <c r="A629" s="1"/>
      <c r="B629" s="1"/>
      <c r="C629" s="1"/>
    </row>
    <row r="630" ht="15.75" customHeight="1">
      <c r="A630" s="1"/>
      <c r="B630" s="1"/>
      <c r="C630" s="1"/>
    </row>
    <row r="631" ht="15.75" customHeight="1">
      <c r="A631" s="1"/>
      <c r="B631" s="1"/>
      <c r="C631" s="1"/>
    </row>
    <row r="632" ht="15.75" customHeight="1">
      <c r="A632" s="1"/>
      <c r="B632" s="1"/>
      <c r="C632" s="1"/>
    </row>
    <row r="633" ht="15.75" customHeight="1">
      <c r="A633" s="1"/>
      <c r="B633" s="1"/>
      <c r="C633" s="1"/>
    </row>
    <row r="634" ht="15.75" customHeight="1">
      <c r="A634" s="1"/>
      <c r="B634" s="1"/>
      <c r="C634" s="1"/>
    </row>
    <row r="635" ht="15.75" customHeight="1">
      <c r="A635" s="1"/>
      <c r="B635" s="1"/>
      <c r="C635" s="1"/>
    </row>
    <row r="636" ht="15.75" customHeight="1">
      <c r="A636" s="1"/>
      <c r="B636" s="1"/>
      <c r="C636" s="1"/>
    </row>
    <row r="637" ht="15.75" customHeight="1">
      <c r="A637" s="1"/>
      <c r="B637" s="1"/>
      <c r="C637" s="1"/>
    </row>
    <row r="638" ht="15.75" customHeight="1">
      <c r="A638" s="1"/>
      <c r="B638" s="1"/>
      <c r="C638" s="1"/>
    </row>
    <row r="639" ht="15.75" customHeight="1">
      <c r="A639" s="1"/>
      <c r="B639" s="1"/>
      <c r="C639" s="1"/>
    </row>
    <row r="640" ht="15.75" customHeight="1">
      <c r="A640" s="1"/>
      <c r="B640" s="1"/>
      <c r="C640" s="1"/>
    </row>
    <row r="641" ht="15.75" customHeight="1">
      <c r="A641" s="1"/>
      <c r="B641" s="1"/>
      <c r="C641" s="1"/>
    </row>
    <row r="642" ht="15.75" customHeight="1">
      <c r="A642" s="1"/>
      <c r="B642" s="1"/>
      <c r="C642" s="1"/>
    </row>
    <row r="643" ht="15.75" customHeight="1">
      <c r="A643" s="1"/>
      <c r="B643" s="1"/>
      <c r="C643" s="1"/>
    </row>
    <row r="644" ht="15.75" customHeight="1">
      <c r="A644" s="1"/>
      <c r="B644" s="1"/>
      <c r="C644" s="1"/>
    </row>
    <row r="645" ht="15.75" customHeight="1">
      <c r="A645" s="1"/>
      <c r="B645" s="1"/>
      <c r="C645" s="1"/>
    </row>
    <row r="646" ht="15.75" customHeight="1">
      <c r="A646" s="1"/>
      <c r="B646" s="1"/>
      <c r="C646" s="1"/>
    </row>
    <row r="647" ht="15.75" customHeight="1">
      <c r="A647" s="1"/>
      <c r="B647" s="1"/>
      <c r="C647" s="1"/>
    </row>
    <row r="648" ht="15.75" customHeight="1">
      <c r="A648" s="1"/>
      <c r="B648" s="1"/>
      <c r="C648" s="1"/>
    </row>
    <row r="649" ht="15.75" customHeight="1">
      <c r="A649" s="1"/>
      <c r="B649" s="1"/>
      <c r="C649" s="1"/>
    </row>
    <row r="650" ht="15.75" customHeight="1">
      <c r="A650" s="1"/>
      <c r="B650" s="1"/>
      <c r="C650" s="1"/>
    </row>
    <row r="651" ht="15.75" customHeight="1">
      <c r="A651" s="1"/>
      <c r="B651" s="1"/>
      <c r="C651" s="1"/>
    </row>
    <row r="652" ht="15.75" customHeight="1">
      <c r="A652" s="1"/>
      <c r="B652" s="1"/>
      <c r="C652" s="1"/>
    </row>
    <row r="653" ht="15.75" customHeight="1">
      <c r="A653" s="1"/>
      <c r="B653" s="1"/>
      <c r="C653" s="1"/>
    </row>
    <row r="654" ht="15.75" customHeight="1">
      <c r="A654" s="1"/>
      <c r="B654" s="1"/>
      <c r="C654" s="1"/>
    </row>
    <row r="655" ht="15.75" customHeight="1">
      <c r="A655" s="1"/>
      <c r="B655" s="1"/>
      <c r="C655" s="1"/>
    </row>
    <row r="656" ht="15.75" customHeight="1">
      <c r="A656" s="1"/>
      <c r="B656" s="1"/>
      <c r="C656" s="1"/>
    </row>
    <row r="657" ht="15.75" customHeight="1">
      <c r="A657" s="1"/>
      <c r="B657" s="1"/>
      <c r="C657" s="1"/>
    </row>
    <row r="658" ht="15.75" customHeight="1">
      <c r="A658" s="1"/>
      <c r="B658" s="1"/>
      <c r="C658" s="1"/>
    </row>
    <row r="659" ht="15.75" customHeight="1">
      <c r="A659" s="1"/>
      <c r="B659" s="1"/>
      <c r="C659" s="1"/>
    </row>
    <row r="660" ht="15.75" customHeight="1">
      <c r="A660" s="1"/>
      <c r="B660" s="1"/>
      <c r="C660" s="1"/>
    </row>
    <row r="661" ht="15.75" customHeight="1">
      <c r="A661" s="1"/>
      <c r="B661" s="1"/>
      <c r="C661" s="1"/>
    </row>
    <row r="662" ht="15.75" customHeight="1">
      <c r="A662" s="1"/>
      <c r="B662" s="1"/>
      <c r="C662" s="1"/>
    </row>
    <row r="663" ht="15.75" customHeight="1">
      <c r="A663" s="1"/>
      <c r="B663" s="1"/>
      <c r="C663" s="1"/>
    </row>
    <row r="664" ht="15.75" customHeight="1">
      <c r="A664" s="1"/>
      <c r="B664" s="1"/>
      <c r="C664" s="1"/>
    </row>
    <row r="665" ht="15.75" customHeight="1">
      <c r="A665" s="1"/>
      <c r="B665" s="1"/>
      <c r="C665" s="1"/>
    </row>
    <row r="666" ht="15.75" customHeight="1">
      <c r="A666" s="1"/>
      <c r="B666" s="1"/>
      <c r="C666" s="1"/>
    </row>
    <row r="667" ht="15.75" customHeight="1">
      <c r="A667" s="1"/>
      <c r="B667" s="1"/>
      <c r="C667" s="1"/>
    </row>
    <row r="668" ht="15.75" customHeight="1">
      <c r="A668" s="1"/>
      <c r="B668" s="1"/>
      <c r="C668" s="1"/>
    </row>
    <row r="669" ht="15.75" customHeight="1">
      <c r="A669" s="1"/>
      <c r="B669" s="1"/>
      <c r="C669" s="1"/>
    </row>
    <row r="670" ht="15.75" customHeight="1">
      <c r="A670" s="1"/>
      <c r="B670" s="1"/>
      <c r="C670" s="1"/>
    </row>
    <row r="671" ht="15.75" customHeight="1">
      <c r="A671" s="1"/>
      <c r="B671" s="1"/>
      <c r="C671" s="1"/>
    </row>
    <row r="672" ht="15.75" customHeight="1">
      <c r="A672" s="1"/>
      <c r="B672" s="1"/>
      <c r="C672" s="1"/>
    </row>
    <row r="673" ht="15.75" customHeight="1">
      <c r="A673" s="1"/>
      <c r="B673" s="1"/>
      <c r="C673" s="1"/>
    </row>
    <row r="674" ht="15.75" customHeight="1">
      <c r="A674" s="1"/>
      <c r="B674" s="1"/>
      <c r="C674" s="1"/>
    </row>
    <row r="675" ht="15.75" customHeight="1">
      <c r="A675" s="1"/>
      <c r="B675" s="1"/>
      <c r="C675" s="1"/>
    </row>
    <row r="676" ht="15.75" customHeight="1">
      <c r="A676" s="1"/>
      <c r="B676" s="1"/>
      <c r="C676" s="1"/>
    </row>
    <row r="677" ht="15.75" customHeight="1">
      <c r="A677" s="1"/>
      <c r="B677" s="1"/>
      <c r="C677" s="1"/>
    </row>
    <row r="678" ht="15.75" customHeight="1">
      <c r="A678" s="1"/>
      <c r="B678" s="1"/>
      <c r="C678" s="1"/>
    </row>
    <row r="679" ht="15.75" customHeight="1">
      <c r="A679" s="1"/>
      <c r="B679" s="1"/>
      <c r="C679" s="1"/>
    </row>
    <row r="680" ht="15.75" customHeight="1">
      <c r="A680" s="1"/>
      <c r="B680" s="1"/>
      <c r="C680" s="1"/>
    </row>
    <row r="681" ht="15.75" customHeight="1">
      <c r="A681" s="1"/>
      <c r="B681" s="1"/>
      <c r="C681" s="1"/>
    </row>
    <row r="682" ht="15.75" customHeight="1">
      <c r="A682" s="1"/>
      <c r="B682" s="1"/>
      <c r="C682" s="1"/>
    </row>
    <row r="683" ht="15.75" customHeight="1">
      <c r="A683" s="1"/>
      <c r="B683" s="1"/>
      <c r="C683" s="1"/>
    </row>
    <row r="684" ht="15.75" customHeight="1">
      <c r="A684" s="1"/>
      <c r="B684" s="1"/>
      <c r="C684" s="1"/>
    </row>
    <row r="685" ht="15.75" customHeight="1">
      <c r="A685" s="1"/>
      <c r="B685" s="1"/>
      <c r="C685" s="1"/>
    </row>
    <row r="686" ht="15.75" customHeight="1">
      <c r="A686" s="1"/>
      <c r="B686" s="1"/>
      <c r="C686" s="1"/>
    </row>
    <row r="687" ht="15.75" customHeight="1">
      <c r="A687" s="1"/>
      <c r="B687" s="1"/>
      <c r="C687" s="1"/>
    </row>
    <row r="688" ht="15.75" customHeight="1">
      <c r="A688" s="1"/>
      <c r="B688" s="1"/>
      <c r="C688" s="1"/>
    </row>
    <row r="689" ht="15.75" customHeight="1">
      <c r="A689" s="1"/>
      <c r="B689" s="1"/>
      <c r="C689" s="1"/>
    </row>
    <row r="690" ht="15.75" customHeight="1">
      <c r="A690" s="1"/>
      <c r="B690" s="1"/>
      <c r="C690" s="1"/>
    </row>
    <row r="691" ht="15.75" customHeight="1">
      <c r="A691" s="1"/>
      <c r="B691" s="1"/>
      <c r="C691" s="1"/>
    </row>
    <row r="692" ht="15.75" customHeight="1">
      <c r="A692" s="1"/>
      <c r="B692" s="1"/>
      <c r="C692" s="1"/>
    </row>
    <row r="693" ht="15.75" customHeight="1">
      <c r="A693" s="1"/>
      <c r="B693" s="1"/>
      <c r="C693" s="1"/>
    </row>
    <row r="694" ht="15.75" customHeight="1">
      <c r="A694" s="1"/>
      <c r="B694" s="1"/>
      <c r="C694" s="1"/>
    </row>
    <row r="695" ht="15.75" customHeight="1">
      <c r="A695" s="1"/>
      <c r="B695" s="1"/>
      <c r="C695" s="1"/>
    </row>
    <row r="696" ht="15.75" customHeight="1">
      <c r="A696" s="1"/>
      <c r="B696" s="1"/>
      <c r="C696" s="1"/>
    </row>
    <row r="697" ht="15.75" customHeight="1">
      <c r="A697" s="1"/>
      <c r="B697" s="1"/>
      <c r="C697" s="1"/>
    </row>
    <row r="698" ht="15.75" customHeight="1">
      <c r="A698" s="1"/>
      <c r="B698" s="1"/>
      <c r="C698" s="1"/>
    </row>
    <row r="699" ht="15.75" customHeight="1">
      <c r="A699" s="1"/>
      <c r="B699" s="1"/>
      <c r="C699" s="1"/>
    </row>
    <row r="700" ht="15.75" customHeight="1">
      <c r="A700" s="1"/>
      <c r="B700" s="1"/>
      <c r="C700" s="1"/>
    </row>
    <row r="701" ht="15.75" customHeight="1">
      <c r="A701" s="1"/>
      <c r="B701" s="1"/>
      <c r="C701" s="1"/>
    </row>
    <row r="702" ht="15.75" customHeight="1">
      <c r="A702" s="1"/>
      <c r="B702" s="1"/>
      <c r="C702" s="1"/>
    </row>
    <row r="703" ht="15.75" customHeight="1">
      <c r="A703" s="1"/>
      <c r="B703" s="1"/>
      <c r="C703" s="1"/>
    </row>
    <row r="704" ht="15.75" customHeight="1">
      <c r="A704" s="1"/>
      <c r="B704" s="1"/>
      <c r="C704" s="1"/>
    </row>
    <row r="705" ht="15.75" customHeight="1">
      <c r="A705" s="1"/>
      <c r="B705" s="1"/>
      <c r="C705" s="1"/>
    </row>
    <row r="706" ht="15.75" customHeight="1">
      <c r="A706" s="1"/>
      <c r="B706" s="1"/>
      <c r="C706" s="1"/>
    </row>
    <row r="707" ht="15.75" customHeight="1">
      <c r="A707" s="1"/>
      <c r="B707" s="1"/>
      <c r="C707" s="1"/>
    </row>
    <row r="708" ht="15.75" customHeight="1">
      <c r="A708" s="1"/>
      <c r="B708" s="1"/>
      <c r="C708" s="1"/>
    </row>
    <row r="709" ht="15.75" customHeight="1">
      <c r="A709" s="1"/>
      <c r="B709" s="1"/>
      <c r="C709" s="1"/>
    </row>
    <row r="710" ht="15.75" customHeight="1">
      <c r="A710" s="1"/>
      <c r="B710" s="1"/>
      <c r="C710" s="1"/>
    </row>
    <row r="711" ht="15.75" customHeight="1">
      <c r="A711" s="1"/>
      <c r="B711" s="1"/>
      <c r="C711" s="1"/>
    </row>
    <row r="712" ht="15.75" customHeight="1">
      <c r="A712" s="1"/>
      <c r="B712" s="1"/>
      <c r="C712" s="1"/>
    </row>
    <row r="713" ht="15.75" customHeight="1">
      <c r="A713" s="1"/>
      <c r="B713" s="1"/>
      <c r="C713" s="1"/>
    </row>
    <row r="714" ht="15.75" customHeight="1">
      <c r="A714" s="1"/>
      <c r="B714" s="1"/>
      <c r="C714" s="1"/>
    </row>
    <row r="715" ht="15.75" customHeight="1">
      <c r="A715" s="1"/>
      <c r="B715" s="1"/>
      <c r="C715" s="1"/>
    </row>
    <row r="716" ht="15.75" customHeight="1">
      <c r="A716" s="1"/>
      <c r="B716" s="1"/>
      <c r="C716" s="1"/>
    </row>
    <row r="717" ht="15.75" customHeight="1">
      <c r="A717" s="1"/>
      <c r="B717" s="1"/>
      <c r="C717" s="1"/>
    </row>
    <row r="718" ht="15.75" customHeight="1">
      <c r="A718" s="1"/>
      <c r="B718" s="1"/>
      <c r="C718" s="1"/>
    </row>
    <row r="719" ht="15.75" customHeight="1">
      <c r="A719" s="1"/>
      <c r="B719" s="1"/>
      <c r="C719" s="1"/>
    </row>
    <row r="720" ht="15.75" customHeight="1">
      <c r="A720" s="1"/>
      <c r="B720" s="1"/>
      <c r="C720" s="1"/>
    </row>
    <row r="721" ht="15.75" customHeight="1">
      <c r="A721" s="1"/>
      <c r="B721" s="1"/>
      <c r="C721" s="1"/>
    </row>
    <row r="722" ht="15.75" customHeight="1">
      <c r="A722" s="1"/>
      <c r="B722" s="1"/>
      <c r="C722" s="1"/>
    </row>
    <row r="723" ht="15.75" customHeight="1">
      <c r="A723" s="1"/>
      <c r="B723" s="1"/>
      <c r="C723" s="1"/>
    </row>
    <row r="724" ht="15.75" customHeight="1">
      <c r="A724" s="1"/>
      <c r="B724" s="1"/>
      <c r="C724" s="1"/>
    </row>
    <row r="725" ht="15.75" customHeight="1">
      <c r="A725" s="1"/>
      <c r="B725" s="1"/>
      <c r="C725" s="1"/>
    </row>
    <row r="726" ht="15.75" customHeight="1">
      <c r="A726" s="1"/>
      <c r="B726" s="1"/>
      <c r="C726" s="1"/>
    </row>
    <row r="727" ht="15.75" customHeight="1">
      <c r="A727" s="1"/>
      <c r="B727" s="1"/>
      <c r="C727" s="1"/>
    </row>
    <row r="728" ht="15.75" customHeight="1">
      <c r="A728" s="1"/>
      <c r="B728" s="1"/>
      <c r="C728" s="1"/>
    </row>
    <row r="729" ht="15.75" customHeight="1">
      <c r="A729" s="1"/>
      <c r="B729" s="1"/>
      <c r="C729" s="1"/>
    </row>
    <row r="730" ht="15.75" customHeight="1">
      <c r="A730" s="1"/>
      <c r="B730" s="1"/>
      <c r="C730" s="1"/>
    </row>
    <row r="731" ht="15.75" customHeight="1">
      <c r="A731" s="1"/>
      <c r="B731" s="1"/>
      <c r="C731" s="1"/>
    </row>
    <row r="732" ht="15.75" customHeight="1">
      <c r="A732" s="1"/>
      <c r="B732" s="1"/>
      <c r="C732" s="1"/>
    </row>
    <row r="733" ht="15.75" customHeight="1">
      <c r="A733" s="1"/>
      <c r="B733" s="1"/>
      <c r="C733" s="1"/>
    </row>
    <row r="734" ht="15.75" customHeight="1">
      <c r="A734" s="1"/>
      <c r="B734" s="1"/>
      <c r="C734" s="1"/>
    </row>
    <row r="735" ht="15.75" customHeight="1">
      <c r="A735" s="1"/>
      <c r="B735" s="1"/>
      <c r="C735" s="1"/>
    </row>
    <row r="736" ht="15.75" customHeight="1">
      <c r="A736" s="1"/>
      <c r="B736" s="1"/>
      <c r="C736" s="1"/>
    </row>
    <row r="737" ht="15.75" customHeight="1">
      <c r="A737" s="1"/>
      <c r="B737" s="1"/>
      <c r="C737" s="1"/>
    </row>
    <row r="738" ht="15.75" customHeight="1">
      <c r="A738" s="1"/>
      <c r="B738" s="1"/>
      <c r="C738" s="1"/>
    </row>
    <row r="739" ht="15.75" customHeight="1">
      <c r="A739" s="1"/>
      <c r="B739" s="1"/>
      <c r="C739" s="1"/>
    </row>
    <row r="740" ht="15.75" customHeight="1">
      <c r="A740" s="1"/>
      <c r="B740" s="1"/>
      <c r="C740" s="1"/>
    </row>
    <row r="741" ht="15.75" customHeight="1">
      <c r="A741" s="1"/>
      <c r="B741" s="1"/>
      <c r="C741" s="1"/>
    </row>
    <row r="742" ht="15.75" customHeight="1">
      <c r="A742" s="1"/>
      <c r="B742" s="1"/>
      <c r="C742" s="1"/>
    </row>
    <row r="743" ht="15.75" customHeight="1">
      <c r="A743" s="1"/>
      <c r="B743" s="1"/>
      <c r="C743" s="1"/>
    </row>
    <row r="744" ht="15.75" customHeight="1">
      <c r="A744" s="1"/>
      <c r="B744" s="1"/>
      <c r="C744" s="1"/>
    </row>
    <row r="745" ht="15.75" customHeight="1">
      <c r="A745" s="1"/>
      <c r="B745" s="1"/>
      <c r="C745" s="1"/>
    </row>
    <row r="746" ht="15.75" customHeight="1">
      <c r="A746" s="1"/>
      <c r="B746" s="1"/>
      <c r="C746" s="1"/>
    </row>
    <row r="747" ht="15.75" customHeight="1">
      <c r="A747" s="1"/>
      <c r="B747" s="1"/>
      <c r="C747" s="1"/>
    </row>
    <row r="748" ht="15.75" customHeight="1">
      <c r="A748" s="1"/>
      <c r="B748" s="1"/>
      <c r="C748" s="1"/>
    </row>
    <row r="749" ht="15.75" customHeight="1">
      <c r="A749" s="1"/>
      <c r="B749" s="1"/>
      <c r="C749" s="1"/>
    </row>
    <row r="750" ht="15.75" customHeight="1">
      <c r="A750" s="1"/>
      <c r="B750" s="1"/>
      <c r="C750" s="1"/>
    </row>
    <row r="751" ht="15.75" customHeight="1">
      <c r="A751" s="1"/>
      <c r="B751" s="1"/>
      <c r="C751" s="1"/>
    </row>
    <row r="752" ht="15.75" customHeight="1">
      <c r="A752" s="1"/>
      <c r="B752" s="1"/>
      <c r="C752" s="1"/>
    </row>
    <row r="753" ht="15.75" customHeight="1">
      <c r="A753" s="1"/>
      <c r="B753" s="1"/>
      <c r="C753" s="1"/>
    </row>
    <row r="754" ht="15.75" customHeight="1">
      <c r="A754" s="1"/>
      <c r="B754" s="1"/>
      <c r="C754" s="1"/>
    </row>
    <row r="755" ht="15.75" customHeight="1">
      <c r="A755" s="1"/>
      <c r="B755" s="1"/>
      <c r="C755" s="1"/>
    </row>
    <row r="756" ht="15.75" customHeight="1">
      <c r="A756" s="1"/>
      <c r="B756" s="1"/>
      <c r="C756" s="1"/>
    </row>
    <row r="757" ht="15.75" customHeight="1">
      <c r="A757" s="1"/>
      <c r="B757" s="1"/>
      <c r="C757" s="1"/>
    </row>
    <row r="758" ht="15.75" customHeight="1">
      <c r="A758" s="1"/>
      <c r="B758" s="1"/>
      <c r="C758" s="1"/>
    </row>
    <row r="759" ht="15.75" customHeight="1">
      <c r="A759" s="1"/>
      <c r="B759" s="1"/>
      <c r="C759" s="1"/>
    </row>
    <row r="760" ht="15.75" customHeight="1">
      <c r="A760" s="1"/>
      <c r="B760" s="1"/>
      <c r="C760" s="1"/>
    </row>
    <row r="761" ht="15.75" customHeight="1">
      <c r="A761" s="1"/>
      <c r="B761" s="1"/>
      <c r="C761" s="1"/>
    </row>
    <row r="762" ht="15.75" customHeight="1">
      <c r="A762" s="1"/>
      <c r="B762" s="1"/>
      <c r="C762" s="1"/>
    </row>
    <row r="763" ht="15.75" customHeight="1">
      <c r="A763" s="1"/>
      <c r="B763" s="1"/>
      <c r="C763" s="1"/>
    </row>
    <row r="764" ht="15.75" customHeight="1">
      <c r="A764" s="1"/>
      <c r="B764" s="1"/>
      <c r="C764" s="1"/>
    </row>
    <row r="765" ht="15.75" customHeight="1">
      <c r="A765" s="1"/>
      <c r="B765" s="1"/>
      <c r="C765" s="1"/>
    </row>
    <row r="766" ht="15.75" customHeight="1">
      <c r="A766" s="1"/>
      <c r="B766" s="1"/>
      <c r="C766" s="1"/>
    </row>
    <row r="767" ht="15.75" customHeight="1">
      <c r="A767" s="1"/>
      <c r="B767" s="1"/>
      <c r="C767" s="1"/>
    </row>
    <row r="768" ht="15.75" customHeight="1">
      <c r="A768" s="1"/>
      <c r="B768" s="1"/>
      <c r="C768" s="1"/>
    </row>
    <row r="769" ht="15.75" customHeight="1">
      <c r="A769" s="1"/>
      <c r="B769" s="1"/>
      <c r="C769" s="1"/>
    </row>
    <row r="770" ht="15.75" customHeight="1">
      <c r="A770" s="1"/>
      <c r="B770" s="1"/>
      <c r="C770" s="1"/>
    </row>
    <row r="771" ht="15.75" customHeight="1">
      <c r="A771" s="1"/>
      <c r="B771" s="1"/>
      <c r="C771" s="1"/>
    </row>
    <row r="772" ht="15.75" customHeight="1">
      <c r="A772" s="1"/>
      <c r="B772" s="1"/>
      <c r="C772" s="1"/>
    </row>
    <row r="773" ht="15.75" customHeight="1">
      <c r="A773" s="1"/>
      <c r="B773" s="1"/>
      <c r="C773" s="1"/>
    </row>
    <row r="774" ht="15.75" customHeight="1">
      <c r="A774" s="1"/>
      <c r="B774" s="1"/>
      <c r="C774" s="1"/>
    </row>
    <row r="775" ht="15.75" customHeight="1">
      <c r="A775" s="1"/>
      <c r="B775" s="1"/>
      <c r="C775" s="1"/>
    </row>
    <row r="776" ht="15.75" customHeight="1">
      <c r="A776" s="1"/>
      <c r="B776" s="1"/>
      <c r="C776" s="1"/>
    </row>
    <row r="777" ht="15.75" customHeight="1">
      <c r="A777" s="1"/>
      <c r="B777" s="1"/>
      <c r="C777" s="1"/>
    </row>
    <row r="778" ht="15.75" customHeight="1">
      <c r="A778" s="1"/>
      <c r="B778" s="1"/>
      <c r="C778" s="1"/>
    </row>
    <row r="779" ht="15.75" customHeight="1">
      <c r="A779" s="1"/>
      <c r="B779" s="1"/>
      <c r="C779" s="1"/>
    </row>
    <row r="780" ht="15.75" customHeight="1">
      <c r="A780" s="1"/>
      <c r="B780" s="1"/>
      <c r="C780" s="1"/>
    </row>
    <row r="781" ht="15.75" customHeight="1">
      <c r="A781" s="1"/>
      <c r="B781" s="1"/>
      <c r="C781" s="1"/>
    </row>
    <row r="782" ht="15.75" customHeight="1">
      <c r="A782" s="1"/>
      <c r="B782" s="1"/>
      <c r="C782" s="1"/>
    </row>
    <row r="783" ht="15.75" customHeight="1">
      <c r="A783" s="1"/>
      <c r="B783" s="1"/>
      <c r="C783" s="1"/>
    </row>
    <row r="784" ht="15.75" customHeight="1">
      <c r="A784" s="1"/>
      <c r="B784" s="1"/>
      <c r="C784" s="1"/>
    </row>
    <row r="785" ht="15.75" customHeight="1">
      <c r="A785" s="1"/>
      <c r="B785" s="1"/>
      <c r="C785" s="1"/>
    </row>
    <row r="786" ht="15.75" customHeight="1">
      <c r="A786" s="1"/>
      <c r="B786" s="1"/>
      <c r="C786" s="1"/>
    </row>
    <row r="787" ht="15.75" customHeight="1">
      <c r="A787" s="1"/>
      <c r="B787" s="1"/>
      <c r="C787" s="1"/>
    </row>
    <row r="788" ht="15.75" customHeight="1">
      <c r="A788" s="1"/>
      <c r="B788" s="1"/>
      <c r="C788" s="1"/>
    </row>
    <row r="789" ht="15.75" customHeight="1">
      <c r="A789" s="1"/>
      <c r="B789" s="1"/>
      <c r="C789" s="1"/>
    </row>
    <row r="790" ht="15.75" customHeight="1">
      <c r="A790" s="1"/>
      <c r="B790" s="1"/>
      <c r="C790" s="1"/>
    </row>
    <row r="791" ht="15.75" customHeight="1">
      <c r="A791" s="1"/>
      <c r="B791" s="1"/>
      <c r="C791" s="1"/>
    </row>
    <row r="792" ht="15.75" customHeight="1">
      <c r="A792" s="1"/>
      <c r="B792" s="1"/>
      <c r="C792" s="1"/>
    </row>
    <row r="793" ht="15.75" customHeight="1">
      <c r="A793" s="1"/>
      <c r="B793" s="1"/>
      <c r="C793" s="1"/>
    </row>
    <row r="794" ht="15.75" customHeight="1">
      <c r="A794" s="1"/>
      <c r="B794" s="1"/>
      <c r="C794" s="1"/>
    </row>
    <row r="795" ht="15.75" customHeight="1">
      <c r="A795" s="1"/>
      <c r="B795" s="1"/>
      <c r="C795" s="1"/>
    </row>
    <row r="796" ht="15.75" customHeight="1">
      <c r="A796" s="1"/>
      <c r="B796" s="1"/>
      <c r="C796" s="1"/>
    </row>
    <row r="797" ht="15.75" customHeight="1">
      <c r="A797" s="1"/>
      <c r="B797" s="1"/>
      <c r="C797" s="1"/>
    </row>
    <row r="798" ht="15.75" customHeight="1">
      <c r="A798" s="1"/>
      <c r="B798" s="1"/>
      <c r="C798" s="1"/>
    </row>
    <row r="799" ht="15.75" customHeight="1">
      <c r="A799" s="1"/>
      <c r="B799" s="1"/>
      <c r="C799" s="1"/>
    </row>
    <row r="800" ht="15.75" customHeight="1">
      <c r="A800" s="1"/>
      <c r="B800" s="1"/>
      <c r="C800" s="1"/>
    </row>
    <row r="801" ht="15.75" customHeight="1">
      <c r="A801" s="1"/>
      <c r="B801" s="1"/>
      <c r="C801" s="1"/>
    </row>
    <row r="802" ht="15.75" customHeight="1">
      <c r="A802" s="1"/>
      <c r="B802" s="1"/>
      <c r="C802" s="1"/>
    </row>
    <row r="803" ht="15.75" customHeight="1">
      <c r="A803" s="1"/>
      <c r="B803" s="1"/>
      <c r="C803" s="1"/>
    </row>
    <row r="804" ht="15.75" customHeight="1">
      <c r="A804" s="1"/>
      <c r="B804" s="1"/>
      <c r="C804" s="1"/>
    </row>
    <row r="805" ht="15.75" customHeight="1">
      <c r="A805" s="1"/>
      <c r="B805" s="1"/>
      <c r="C805" s="1"/>
    </row>
    <row r="806" ht="15.75" customHeight="1">
      <c r="A806" s="1"/>
      <c r="B806" s="1"/>
      <c r="C806" s="1"/>
    </row>
    <row r="807" ht="15.75" customHeight="1">
      <c r="A807" s="1"/>
      <c r="B807" s="1"/>
      <c r="C807" s="1"/>
    </row>
    <row r="808" ht="15.75" customHeight="1">
      <c r="A808" s="1"/>
      <c r="B808" s="1"/>
      <c r="C808" s="1"/>
    </row>
    <row r="809" ht="15.75" customHeight="1">
      <c r="A809" s="1"/>
      <c r="B809" s="1"/>
      <c r="C809" s="1"/>
    </row>
    <row r="810" ht="15.75" customHeight="1">
      <c r="A810" s="1"/>
      <c r="B810" s="1"/>
      <c r="C810" s="1"/>
    </row>
    <row r="811" ht="15.75" customHeight="1">
      <c r="A811" s="1"/>
      <c r="B811" s="1"/>
      <c r="C811" s="1"/>
    </row>
    <row r="812" ht="15.75" customHeight="1">
      <c r="A812" s="1"/>
      <c r="B812" s="1"/>
      <c r="C812" s="1"/>
    </row>
    <row r="813" ht="15.75" customHeight="1">
      <c r="A813" s="1"/>
      <c r="B813" s="1"/>
      <c r="C813" s="1"/>
    </row>
    <row r="814" ht="15.75" customHeight="1">
      <c r="A814" s="1"/>
      <c r="B814" s="1"/>
      <c r="C814" s="1"/>
    </row>
    <row r="815" ht="15.75" customHeight="1">
      <c r="A815" s="1"/>
      <c r="B815" s="1"/>
      <c r="C815" s="1"/>
    </row>
    <row r="816" ht="15.75" customHeight="1">
      <c r="A816" s="1"/>
      <c r="B816" s="1"/>
      <c r="C816" s="1"/>
    </row>
    <row r="817" ht="15.75" customHeight="1">
      <c r="A817" s="1"/>
      <c r="B817" s="1"/>
      <c r="C817" s="1"/>
    </row>
    <row r="818" ht="15.75" customHeight="1">
      <c r="A818" s="1"/>
      <c r="B818" s="1"/>
      <c r="C818" s="1"/>
    </row>
    <row r="819" ht="15.75" customHeight="1">
      <c r="A819" s="1"/>
      <c r="B819" s="1"/>
      <c r="C819" s="1"/>
    </row>
    <row r="820" ht="15.75" customHeight="1">
      <c r="A820" s="1"/>
      <c r="B820" s="1"/>
      <c r="C820" s="1"/>
    </row>
    <row r="821" ht="15.75" customHeight="1">
      <c r="A821" s="1"/>
      <c r="B821" s="1"/>
      <c r="C821" s="1"/>
    </row>
    <row r="822" ht="15.75" customHeight="1">
      <c r="A822" s="1"/>
      <c r="B822" s="1"/>
      <c r="C822" s="1"/>
    </row>
    <row r="823" ht="15.75" customHeight="1">
      <c r="A823" s="1"/>
      <c r="B823" s="1"/>
      <c r="C823" s="1"/>
    </row>
    <row r="824" ht="15.75" customHeight="1">
      <c r="A824" s="1"/>
      <c r="B824" s="1"/>
      <c r="C824" s="1"/>
    </row>
    <row r="825" ht="15.75" customHeight="1">
      <c r="A825" s="1"/>
      <c r="B825" s="1"/>
      <c r="C825" s="1"/>
    </row>
    <row r="826" ht="15.75" customHeight="1">
      <c r="A826" s="1"/>
      <c r="B826" s="1"/>
      <c r="C826" s="1"/>
    </row>
    <row r="827" ht="15.75" customHeight="1">
      <c r="A827" s="1"/>
      <c r="B827" s="1"/>
      <c r="C827" s="1"/>
    </row>
    <row r="828" ht="15.75" customHeight="1">
      <c r="A828" s="1"/>
      <c r="B828" s="1"/>
      <c r="C828" s="1"/>
    </row>
    <row r="829" ht="15.75" customHeight="1">
      <c r="A829" s="1"/>
      <c r="B829" s="1"/>
      <c r="C829" s="1"/>
    </row>
    <row r="830" ht="15.75" customHeight="1">
      <c r="A830" s="1"/>
      <c r="B830" s="1"/>
      <c r="C830" s="1"/>
    </row>
    <row r="831" ht="15.75" customHeight="1">
      <c r="A831" s="1"/>
      <c r="B831" s="1"/>
      <c r="C831" s="1"/>
    </row>
    <row r="832" ht="15.75" customHeight="1">
      <c r="A832" s="1"/>
      <c r="B832" s="1"/>
      <c r="C832" s="1"/>
    </row>
    <row r="833" ht="15.75" customHeight="1">
      <c r="A833" s="1"/>
      <c r="B833" s="1"/>
      <c r="C833" s="1"/>
    </row>
    <row r="834" ht="15.75" customHeight="1">
      <c r="A834" s="1"/>
      <c r="B834" s="1"/>
      <c r="C834" s="1"/>
    </row>
    <row r="835" ht="15.75" customHeight="1">
      <c r="A835" s="1"/>
      <c r="B835" s="1"/>
      <c r="C835" s="1"/>
    </row>
    <row r="836" ht="15.75" customHeight="1">
      <c r="A836" s="1"/>
      <c r="B836" s="1"/>
      <c r="C836" s="1"/>
    </row>
    <row r="837" ht="15.75" customHeight="1">
      <c r="A837" s="1"/>
      <c r="B837" s="1"/>
      <c r="C837" s="1"/>
    </row>
    <row r="838" ht="15.75" customHeight="1">
      <c r="A838" s="1"/>
      <c r="B838" s="1"/>
      <c r="C838" s="1"/>
    </row>
    <row r="839" ht="15.75" customHeight="1">
      <c r="A839" s="1"/>
      <c r="B839" s="1"/>
      <c r="C839" s="1"/>
    </row>
    <row r="840" ht="15.75" customHeight="1">
      <c r="A840" s="1"/>
      <c r="B840" s="1"/>
      <c r="C840" s="1"/>
    </row>
    <row r="841" ht="15.75" customHeight="1">
      <c r="A841" s="1"/>
      <c r="B841" s="1"/>
      <c r="C841" s="1"/>
    </row>
    <row r="842" ht="15.75" customHeight="1">
      <c r="A842" s="1"/>
      <c r="B842" s="1"/>
      <c r="C842" s="1"/>
    </row>
    <row r="843" ht="15.75" customHeight="1">
      <c r="A843" s="1"/>
      <c r="B843" s="1"/>
      <c r="C843" s="1"/>
    </row>
    <row r="844" ht="15.75" customHeight="1">
      <c r="A844" s="1"/>
      <c r="B844" s="1"/>
      <c r="C844" s="1"/>
    </row>
    <row r="845" ht="15.75" customHeight="1">
      <c r="A845" s="1"/>
      <c r="B845" s="1"/>
      <c r="C845" s="1"/>
    </row>
    <row r="846" ht="15.75" customHeight="1">
      <c r="A846" s="1"/>
      <c r="B846" s="1"/>
      <c r="C846" s="1"/>
    </row>
    <row r="847" ht="15.75" customHeight="1">
      <c r="A847" s="1"/>
      <c r="B847" s="1"/>
      <c r="C847" s="1"/>
    </row>
    <row r="848" ht="15.75" customHeight="1">
      <c r="A848" s="1"/>
      <c r="B848" s="1"/>
      <c r="C848" s="1"/>
    </row>
    <row r="849" ht="15.75" customHeight="1">
      <c r="A849" s="1"/>
      <c r="B849" s="1"/>
      <c r="C849" s="1"/>
    </row>
    <row r="850" ht="15.75" customHeight="1">
      <c r="A850" s="1"/>
      <c r="B850" s="1"/>
      <c r="C850" s="1"/>
    </row>
    <row r="851" ht="15.75" customHeight="1">
      <c r="A851" s="1"/>
      <c r="B851" s="1"/>
      <c r="C851" s="1"/>
    </row>
    <row r="852" ht="15.75" customHeight="1">
      <c r="A852" s="1"/>
      <c r="B852" s="1"/>
      <c r="C852" s="1"/>
    </row>
    <row r="853" ht="15.75" customHeight="1">
      <c r="A853" s="1"/>
      <c r="B853" s="1"/>
      <c r="C853" s="1"/>
    </row>
    <row r="854" ht="15.75" customHeight="1">
      <c r="A854" s="1"/>
      <c r="B854" s="1"/>
      <c r="C854" s="1"/>
    </row>
    <row r="855" ht="15.75" customHeight="1">
      <c r="A855" s="1"/>
      <c r="B855" s="1"/>
      <c r="C855" s="1"/>
    </row>
    <row r="856" ht="15.75" customHeight="1">
      <c r="A856" s="1"/>
      <c r="B856" s="1"/>
      <c r="C856" s="1"/>
    </row>
    <row r="857" ht="15.75" customHeight="1">
      <c r="A857" s="1"/>
      <c r="B857" s="1"/>
      <c r="C857" s="1"/>
    </row>
    <row r="858" ht="15.75" customHeight="1">
      <c r="A858" s="1"/>
      <c r="B858" s="1"/>
      <c r="C858" s="1"/>
    </row>
    <row r="859" ht="15.75" customHeight="1">
      <c r="A859" s="1"/>
      <c r="B859" s="1"/>
      <c r="C859" s="1"/>
    </row>
    <row r="860" ht="15.75" customHeight="1">
      <c r="A860" s="1"/>
      <c r="B860" s="1"/>
      <c r="C860" s="1"/>
    </row>
    <row r="861" ht="15.75" customHeight="1">
      <c r="A861" s="1"/>
      <c r="B861" s="1"/>
      <c r="C861" s="1"/>
    </row>
    <row r="862" ht="15.75" customHeight="1">
      <c r="A862" s="1"/>
      <c r="B862" s="1"/>
      <c r="C862" s="1"/>
    </row>
    <row r="863" ht="15.75" customHeight="1">
      <c r="A863" s="1"/>
      <c r="B863" s="1"/>
      <c r="C863" s="1"/>
    </row>
    <row r="864" ht="15.75" customHeight="1">
      <c r="A864" s="1"/>
      <c r="B864" s="1"/>
      <c r="C864" s="1"/>
    </row>
    <row r="865" ht="15.75" customHeight="1">
      <c r="A865" s="1"/>
      <c r="B865" s="1"/>
      <c r="C865" s="1"/>
    </row>
    <row r="866" ht="15.75" customHeight="1">
      <c r="A866" s="1"/>
      <c r="B866" s="1"/>
      <c r="C866" s="1"/>
    </row>
    <row r="867" ht="15.75" customHeight="1">
      <c r="A867" s="1"/>
      <c r="B867" s="1"/>
      <c r="C867" s="1"/>
    </row>
    <row r="868" ht="15.75" customHeight="1">
      <c r="A868" s="1"/>
      <c r="B868" s="1"/>
      <c r="C868" s="1"/>
    </row>
    <row r="869" ht="15.75" customHeight="1">
      <c r="A869" s="1"/>
      <c r="B869" s="1"/>
      <c r="C869" s="1"/>
    </row>
    <row r="870" ht="15.75" customHeight="1">
      <c r="A870" s="1"/>
      <c r="B870" s="1"/>
      <c r="C870" s="1"/>
    </row>
    <row r="871" ht="15.75" customHeight="1">
      <c r="A871" s="1"/>
      <c r="B871" s="1"/>
      <c r="C871" s="1"/>
    </row>
    <row r="872" ht="15.75" customHeight="1">
      <c r="A872" s="1"/>
      <c r="B872" s="1"/>
      <c r="C872" s="1"/>
    </row>
    <row r="873" ht="15.75" customHeight="1">
      <c r="A873" s="1"/>
      <c r="B873" s="1"/>
      <c r="C873" s="1"/>
    </row>
    <row r="874" ht="15.75" customHeight="1">
      <c r="A874" s="1"/>
      <c r="B874" s="1"/>
      <c r="C874" s="1"/>
    </row>
    <row r="875" ht="15.75" customHeight="1">
      <c r="A875" s="1"/>
      <c r="B875" s="1"/>
      <c r="C875" s="1"/>
    </row>
    <row r="876" ht="15.75" customHeight="1">
      <c r="A876" s="1"/>
      <c r="B876" s="1"/>
      <c r="C876" s="1"/>
    </row>
    <row r="877" ht="15.75" customHeight="1">
      <c r="A877" s="1"/>
      <c r="B877" s="1"/>
      <c r="C877" s="1"/>
    </row>
    <row r="878" ht="15.75" customHeight="1">
      <c r="A878" s="1"/>
      <c r="B878" s="1"/>
      <c r="C878" s="1"/>
    </row>
    <row r="879" ht="15.75" customHeight="1">
      <c r="A879" s="1"/>
      <c r="B879" s="1"/>
      <c r="C879" s="1"/>
    </row>
    <row r="880" ht="15.75" customHeight="1">
      <c r="A880" s="1"/>
      <c r="B880" s="1"/>
      <c r="C880" s="1"/>
    </row>
    <row r="881" ht="15.75" customHeight="1">
      <c r="A881" s="1"/>
      <c r="B881" s="1"/>
      <c r="C881" s="1"/>
    </row>
    <row r="882" ht="15.75" customHeight="1">
      <c r="A882" s="1"/>
      <c r="B882" s="1"/>
      <c r="C882" s="1"/>
    </row>
    <row r="883" ht="15.75" customHeight="1">
      <c r="A883" s="1"/>
      <c r="B883" s="1"/>
      <c r="C883" s="1"/>
    </row>
    <row r="884" ht="15.75" customHeight="1">
      <c r="A884" s="1"/>
      <c r="B884" s="1"/>
      <c r="C884" s="1"/>
    </row>
    <row r="885" ht="15.75" customHeight="1">
      <c r="A885" s="1"/>
      <c r="B885" s="1"/>
      <c r="C885" s="1"/>
    </row>
    <row r="886" ht="15.75" customHeight="1">
      <c r="A886" s="1"/>
      <c r="B886" s="1"/>
      <c r="C886" s="1"/>
    </row>
    <row r="887" ht="15.75" customHeight="1">
      <c r="A887" s="1"/>
      <c r="B887" s="1"/>
      <c r="C887" s="1"/>
    </row>
    <row r="888" ht="15.75" customHeight="1">
      <c r="A888" s="1"/>
      <c r="B888" s="1"/>
      <c r="C888" s="1"/>
    </row>
    <row r="889" ht="15.75" customHeight="1">
      <c r="A889" s="1"/>
      <c r="B889" s="1"/>
      <c r="C889" s="1"/>
    </row>
    <row r="890" ht="15.75" customHeight="1">
      <c r="A890" s="1"/>
      <c r="B890" s="1"/>
      <c r="C890" s="1"/>
    </row>
    <row r="891" ht="15.75" customHeight="1">
      <c r="A891" s="1"/>
      <c r="B891" s="1"/>
      <c r="C891" s="1"/>
    </row>
    <row r="892" ht="15.75" customHeight="1">
      <c r="A892" s="1"/>
      <c r="B892" s="1"/>
      <c r="C892" s="1"/>
    </row>
    <row r="893" ht="15.75" customHeight="1">
      <c r="A893" s="1"/>
      <c r="B893" s="1"/>
      <c r="C893" s="1"/>
    </row>
    <row r="894" ht="15.75" customHeight="1">
      <c r="A894" s="1"/>
      <c r="B894" s="1"/>
      <c r="C894" s="1"/>
    </row>
    <row r="895" ht="15.75" customHeight="1">
      <c r="A895" s="1"/>
      <c r="B895" s="1"/>
      <c r="C895" s="1"/>
    </row>
    <row r="896" ht="15.75" customHeight="1">
      <c r="A896" s="1"/>
      <c r="B896" s="1"/>
      <c r="C896" s="1"/>
    </row>
    <row r="897" ht="15.75" customHeight="1">
      <c r="A897" s="1"/>
      <c r="B897" s="1"/>
      <c r="C897" s="1"/>
    </row>
    <row r="898" ht="15.75" customHeight="1">
      <c r="A898" s="1"/>
      <c r="B898" s="1"/>
      <c r="C898" s="1"/>
    </row>
    <row r="899" ht="15.75" customHeight="1">
      <c r="A899" s="1"/>
      <c r="B899" s="1"/>
      <c r="C899" s="1"/>
    </row>
    <row r="900" ht="15.75" customHeight="1">
      <c r="A900" s="1"/>
      <c r="B900" s="1"/>
      <c r="C900" s="1"/>
    </row>
    <row r="901" ht="15.75" customHeight="1">
      <c r="A901" s="1"/>
      <c r="B901" s="1"/>
      <c r="C901" s="1"/>
    </row>
    <row r="902" ht="15.75" customHeight="1">
      <c r="A902" s="1"/>
      <c r="B902" s="1"/>
      <c r="C902" s="1"/>
    </row>
    <row r="903" ht="15.75" customHeight="1">
      <c r="A903" s="1"/>
      <c r="B903" s="1"/>
      <c r="C903" s="1"/>
    </row>
    <row r="904" ht="15.75" customHeight="1">
      <c r="A904" s="1"/>
      <c r="B904" s="1"/>
      <c r="C904" s="1"/>
    </row>
    <row r="905" ht="15.75" customHeight="1">
      <c r="A905" s="1"/>
      <c r="B905" s="1"/>
      <c r="C905" s="1"/>
    </row>
    <row r="906" ht="15.75" customHeight="1">
      <c r="A906" s="1"/>
      <c r="B906" s="1"/>
      <c r="C906" s="1"/>
    </row>
    <row r="907" ht="15.75" customHeight="1">
      <c r="A907" s="1"/>
      <c r="B907" s="1"/>
      <c r="C907" s="1"/>
    </row>
    <row r="908" ht="15.75" customHeight="1">
      <c r="A908" s="1"/>
      <c r="B908" s="1"/>
      <c r="C908" s="1"/>
    </row>
    <row r="909" ht="15.75" customHeight="1">
      <c r="A909" s="1"/>
      <c r="B909" s="1"/>
      <c r="C909" s="1"/>
    </row>
    <row r="910" ht="15.75" customHeight="1">
      <c r="A910" s="1"/>
      <c r="B910" s="1"/>
      <c r="C910" s="1"/>
    </row>
    <row r="911" ht="15.75" customHeight="1">
      <c r="A911" s="1"/>
      <c r="B911" s="1"/>
      <c r="C911" s="1"/>
    </row>
    <row r="912" ht="15.75" customHeight="1">
      <c r="A912" s="1"/>
      <c r="B912" s="1"/>
      <c r="C912" s="1"/>
    </row>
    <row r="913" ht="15.75" customHeight="1">
      <c r="A913" s="1"/>
      <c r="B913" s="1"/>
      <c r="C913" s="1"/>
    </row>
    <row r="914" ht="15.75" customHeight="1">
      <c r="A914" s="1"/>
      <c r="B914" s="1"/>
      <c r="C914" s="1"/>
    </row>
    <row r="915" ht="15.75" customHeight="1">
      <c r="A915" s="1"/>
      <c r="B915" s="1"/>
      <c r="C915" s="1"/>
    </row>
    <row r="916" ht="15.75" customHeight="1">
      <c r="A916" s="1"/>
      <c r="B916" s="1"/>
      <c r="C916" s="1"/>
    </row>
    <row r="917" ht="15.75" customHeight="1">
      <c r="A917" s="1"/>
      <c r="B917" s="1"/>
      <c r="C917" s="1"/>
    </row>
    <row r="918" ht="15.75" customHeight="1">
      <c r="A918" s="1"/>
      <c r="B918" s="1"/>
      <c r="C918" s="1"/>
    </row>
    <row r="919" ht="15.75" customHeight="1">
      <c r="A919" s="1"/>
      <c r="B919" s="1"/>
      <c r="C919" s="1"/>
    </row>
    <row r="920" ht="15.75" customHeight="1">
      <c r="A920" s="1"/>
      <c r="B920" s="1"/>
      <c r="C920" s="1"/>
    </row>
    <row r="921" ht="15.75" customHeight="1">
      <c r="A921" s="1"/>
      <c r="B921" s="1"/>
      <c r="C921" s="1"/>
    </row>
    <row r="922" ht="15.75" customHeight="1">
      <c r="A922" s="1"/>
      <c r="B922" s="1"/>
      <c r="C922" s="1"/>
    </row>
    <row r="923" ht="15.75" customHeight="1">
      <c r="A923" s="1"/>
      <c r="B923" s="1"/>
      <c r="C923" s="1"/>
    </row>
    <row r="924" ht="15.75" customHeight="1">
      <c r="A924" s="1"/>
      <c r="B924" s="1"/>
      <c r="C924" s="1"/>
    </row>
    <row r="925" ht="15.75" customHeight="1">
      <c r="A925" s="1"/>
      <c r="B925" s="1"/>
      <c r="C925" s="1"/>
    </row>
    <row r="926" ht="15.75" customHeight="1">
      <c r="A926" s="1"/>
      <c r="B926" s="1"/>
      <c r="C926" s="1"/>
    </row>
    <row r="927" ht="15.75" customHeight="1">
      <c r="A927" s="1"/>
      <c r="B927" s="1"/>
      <c r="C927" s="1"/>
    </row>
    <row r="928" ht="15.75" customHeight="1">
      <c r="A928" s="1"/>
      <c r="B928" s="1"/>
      <c r="C928" s="1"/>
    </row>
    <row r="929" ht="15.75" customHeight="1">
      <c r="A929" s="1"/>
      <c r="B929" s="1"/>
      <c r="C929" s="1"/>
    </row>
    <row r="930" ht="15.75" customHeight="1">
      <c r="A930" s="1"/>
      <c r="B930" s="1"/>
      <c r="C930" s="1"/>
    </row>
    <row r="931" ht="15.75" customHeight="1">
      <c r="A931" s="1"/>
      <c r="B931" s="1"/>
      <c r="C931" s="1"/>
    </row>
    <row r="932" ht="15.75" customHeight="1">
      <c r="A932" s="1"/>
      <c r="B932" s="1"/>
      <c r="C932" s="1"/>
    </row>
    <row r="933" ht="15.75" customHeight="1">
      <c r="A933" s="1"/>
      <c r="B933" s="1"/>
      <c r="C933" s="1"/>
    </row>
    <row r="934" ht="15.75" customHeight="1">
      <c r="A934" s="1"/>
      <c r="B934" s="1"/>
      <c r="C934" s="1"/>
    </row>
    <row r="935" ht="15.75" customHeight="1">
      <c r="A935" s="1"/>
      <c r="B935" s="1"/>
      <c r="C935" s="1"/>
    </row>
    <row r="936" ht="15.75" customHeight="1">
      <c r="A936" s="1"/>
      <c r="B936" s="1"/>
      <c r="C936" s="1"/>
    </row>
    <row r="937" ht="15.75" customHeight="1">
      <c r="A937" s="1"/>
      <c r="B937" s="1"/>
      <c r="C937" s="1"/>
    </row>
    <row r="938" ht="15.75" customHeight="1">
      <c r="A938" s="1"/>
      <c r="B938" s="1"/>
      <c r="C938" s="1"/>
    </row>
    <row r="939" ht="15.75" customHeight="1">
      <c r="A939" s="1"/>
      <c r="B939" s="1"/>
      <c r="C939" s="1"/>
    </row>
    <row r="940" ht="15.75" customHeight="1">
      <c r="A940" s="1"/>
      <c r="B940" s="1"/>
      <c r="C940" s="1"/>
    </row>
    <row r="941" ht="15.75" customHeight="1">
      <c r="A941" s="1"/>
      <c r="B941" s="1"/>
      <c r="C941" s="1"/>
    </row>
    <row r="942" ht="15.75" customHeight="1">
      <c r="A942" s="1"/>
      <c r="B942" s="1"/>
      <c r="C942" s="1"/>
    </row>
    <row r="943" ht="15.75" customHeight="1">
      <c r="A943" s="1"/>
      <c r="B943" s="1"/>
      <c r="C943" s="1"/>
    </row>
    <row r="944" ht="15.75" customHeight="1">
      <c r="A944" s="1"/>
      <c r="B944" s="1"/>
      <c r="C944" s="1"/>
    </row>
    <row r="945" ht="15.75" customHeight="1">
      <c r="A945" s="1"/>
      <c r="B945" s="1"/>
      <c r="C945" s="1"/>
    </row>
    <row r="946" ht="15.75" customHeight="1">
      <c r="A946" s="1"/>
      <c r="B946" s="1"/>
      <c r="C946" s="1"/>
    </row>
    <row r="947" ht="15.75" customHeight="1">
      <c r="A947" s="1"/>
      <c r="B947" s="1"/>
      <c r="C947" s="1"/>
    </row>
    <row r="948" ht="15.75" customHeight="1">
      <c r="A948" s="1"/>
      <c r="B948" s="1"/>
      <c r="C948" s="1"/>
    </row>
    <row r="949" ht="15.75" customHeight="1">
      <c r="A949" s="1"/>
      <c r="B949" s="1"/>
      <c r="C949" s="1"/>
    </row>
    <row r="950" ht="15.75" customHeight="1">
      <c r="A950" s="1"/>
      <c r="B950" s="1"/>
      <c r="C950" s="1"/>
    </row>
    <row r="951" ht="15.75" customHeight="1">
      <c r="A951" s="1"/>
      <c r="B951" s="1"/>
      <c r="C951" s="1"/>
    </row>
    <row r="952" ht="15.75" customHeight="1">
      <c r="A952" s="1"/>
      <c r="B952" s="1"/>
      <c r="C952" s="1"/>
    </row>
    <row r="953" ht="15.75" customHeight="1">
      <c r="A953" s="1"/>
      <c r="B953" s="1"/>
      <c r="C953" s="1"/>
    </row>
    <row r="954" ht="15.75" customHeight="1">
      <c r="A954" s="1"/>
      <c r="B954" s="1"/>
      <c r="C954" s="1"/>
    </row>
    <row r="955" ht="15.75" customHeight="1">
      <c r="A955" s="1"/>
      <c r="B955" s="1"/>
      <c r="C955" s="1"/>
    </row>
    <row r="956" ht="15.75" customHeight="1">
      <c r="A956" s="1"/>
      <c r="B956" s="1"/>
      <c r="C956" s="1"/>
    </row>
    <row r="957" ht="15.75" customHeight="1">
      <c r="A957" s="1"/>
      <c r="B957" s="1"/>
      <c r="C957" s="1"/>
    </row>
    <row r="958" ht="15.75" customHeight="1">
      <c r="A958" s="1"/>
      <c r="B958" s="1"/>
      <c r="C958" s="1"/>
    </row>
    <row r="959" ht="15.75" customHeight="1">
      <c r="A959" s="1"/>
      <c r="B959" s="1"/>
      <c r="C959" s="1"/>
    </row>
    <row r="960" ht="15.75" customHeight="1">
      <c r="A960" s="1"/>
      <c r="B960" s="1"/>
      <c r="C960" s="1"/>
    </row>
    <row r="961" ht="15.75" customHeight="1">
      <c r="A961" s="1"/>
      <c r="B961" s="1"/>
      <c r="C961" s="1"/>
    </row>
    <row r="962" ht="15.75" customHeight="1">
      <c r="A962" s="1"/>
      <c r="B962" s="1"/>
      <c r="C962" s="1"/>
    </row>
    <row r="963" ht="15.75" customHeight="1">
      <c r="A963" s="1"/>
      <c r="B963" s="1"/>
      <c r="C963" s="1"/>
    </row>
    <row r="964" ht="15.75" customHeight="1">
      <c r="A964" s="1"/>
      <c r="B964" s="1"/>
      <c r="C964" s="1"/>
    </row>
    <row r="965" ht="15.75" customHeight="1">
      <c r="A965" s="1"/>
      <c r="B965" s="1"/>
      <c r="C965" s="1"/>
    </row>
    <row r="966" ht="15.75" customHeight="1">
      <c r="A966" s="1"/>
      <c r="B966" s="1"/>
      <c r="C966" s="1"/>
    </row>
    <row r="967" ht="15.75" customHeight="1">
      <c r="A967" s="1"/>
      <c r="B967" s="1"/>
      <c r="C967" s="1"/>
    </row>
    <row r="968" ht="15.75" customHeight="1">
      <c r="A968" s="1"/>
      <c r="B968" s="1"/>
      <c r="C968" s="1"/>
    </row>
    <row r="969" ht="15.75" customHeight="1">
      <c r="A969" s="1"/>
      <c r="B969" s="1"/>
      <c r="C969" s="1"/>
    </row>
    <row r="970" ht="15.75" customHeight="1">
      <c r="A970" s="1"/>
      <c r="B970" s="1"/>
      <c r="C970" s="1"/>
    </row>
    <row r="971" ht="15.75" customHeight="1">
      <c r="A971" s="1"/>
      <c r="B971" s="1"/>
      <c r="C971" s="1"/>
    </row>
    <row r="972" ht="15.75" customHeight="1">
      <c r="A972" s="1"/>
      <c r="B972" s="1"/>
      <c r="C972" s="1"/>
    </row>
    <row r="973" ht="15.75" customHeight="1">
      <c r="A973" s="1"/>
      <c r="B973" s="1"/>
      <c r="C973" s="1"/>
    </row>
    <row r="974" ht="15.75" customHeight="1">
      <c r="A974" s="1"/>
      <c r="B974" s="1"/>
      <c r="C974" s="1"/>
    </row>
    <row r="975" ht="15.75" customHeight="1">
      <c r="A975" s="1"/>
      <c r="B975" s="1"/>
      <c r="C975" s="1"/>
    </row>
    <row r="976" ht="15.75" customHeight="1">
      <c r="A976" s="1"/>
      <c r="B976" s="1"/>
      <c r="C976" s="1"/>
    </row>
    <row r="977" ht="15.75" customHeight="1">
      <c r="A977" s="1"/>
      <c r="B977" s="1"/>
      <c r="C977" s="1"/>
    </row>
    <row r="978" ht="15.75" customHeight="1">
      <c r="A978" s="1"/>
      <c r="B978" s="1"/>
      <c r="C978" s="1"/>
    </row>
    <row r="979" ht="15.75" customHeight="1">
      <c r="A979" s="1"/>
      <c r="B979" s="1"/>
      <c r="C979" s="1"/>
    </row>
    <row r="980" ht="15.75" customHeight="1">
      <c r="A980" s="1"/>
      <c r="B980" s="1"/>
      <c r="C980" s="1"/>
    </row>
    <row r="981" ht="15.75" customHeight="1">
      <c r="A981" s="1"/>
      <c r="B981" s="1"/>
      <c r="C981" s="1"/>
    </row>
    <row r="982" ht="15.75" customHeight="1">
      <c r="A982" s="1"/>
      <c r="B982" s="1"/>
      <c r="C982" s="1"/>
    </row>
    <row r="983" ht="15.75" customHeight="1">
      <c r="A983" s="1"/>
      <c r="B983" s="1"/>
      <c r="C983" s="1"/>
    </row>
    <row r="984" ht="15.75" customHeight="1">
      <c r="A984" s="1"/>
      <c r="B984" s="1"/>
      <c r="C984" s="1"/>
    </row>
    <row r="985" ht="15.75" customHeight="1">
      <c r="A985" s="1"/>
      <c r="B985" s="1"/>
      <c r="C985" s="1"/>
    </row>
    <row r="986" ht="15.75" customHeight="1">
      <c r="A986" s="1"/>
      <c r="B986" s="1"/>
      <c r="C986" s="1"/>
    </row>
    <row r="987" ht="15.75" customHeight="1">
      <c r="A987" s="1"/>
      <c r="B987" s="1"/>
      <c r="C987" s="1"/>
    </row>
    <row r="988" ht="15.75" customHeight="1">
      <c r="A988" s="1"/>
      <c r="B988" s="1"/>
      <c r="C988" s="1"/>
    </row>
    <row r="989" ht="15.75" customHeight="1">
      <c r="A989" s="1"/>
      <c r="B989" s="1"/>
      <c r="C989" s="1"/>
    </row>
    <row r="990" ht="15.75" customHeight="1">
      <c r="A990" s="1"/>
      <c r="B990" s="1"/>
      <c r="C990" s="1"/>
    </row>
    <row r="991" ht="15.75" customHeight="1">
      <c r="A991" s="1"/>
      <c r="B991" s="1"/>
      <c r="C991" s="1"/>
    </row>
    <row r="992" ht="15.75" customHeight="1">
      <c r="A992" s="1"/>
      <c r="B992" s="1"/>
      <c r="C992" s="1"/>
    </row>
    <row r="993" ht="15.75" customHeight="1">
      <c r="A993" s="1"/>
      <c r="B993" s="1"/>
      <c r="C993" s="1"/>
    </row>
    <row r="994" ht="15.75" customHeight="1">
      <c r="A994" s="1"/>
      <c r="B994" s="1"/>
      <c r="C994" s="1"/>
    </row>
    <row r="995" ht="15.75" customHeight="1">
      <c r="A995" s="1"/>
      <c r="B995" s="1"/>
      <c r="C995" s="1"/>
    </row>
    <row r="996" ht="15.75" customHeight="1">
      <c r="A996" s="1"/>
      <c r="B996" s="1"/>
      <c r="C996" s="1"/>
    </row>
    <row r="997" ht="15.75" customHeight="1">
      <c r="A997" s="1"/>
      <c r="B997" s="1"/>
      <c r="C997" s="1"/>
    </row>
    <row r="998" ht="15.75" customHeight="1">
      <c r="A998" s="1"/>
      <c r="B998" s="1"/>
      <c r="C998" s="1"/>
    </row>
    <row r="999" ht="15.75" customHeight="1">
      <c r="A999" s="1"/>
      <c r="B999" s="1"/>
      <c r="C999" s="1"/>
    </row>
    <row r="1000" ht="15.75" customHeight="1">
      <c r="A1000" s="1"/>
      <c r="B1000" s="1"/>
      <c r="C1000" s="1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3" t="s">
        <v>1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11</v>
      </c>
      <c r="I1" s="3" t="s">
        <v>12</v>
      </c>
      <c r="J1" s="3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57"/>
    <col customWidth="1" min="2" max="2" width="21.57"/>
    <col customWidth="1" min="3" max="3" width="24.43"/>
    <col customWidth="1" min="4" max="4" width="54.43"/>
    <col customWidth="1" min="5" max="5" width="51.57"/>
    <col customWidth="1" min="6" max="6" width="43.0"/>
    <col customWidth="1" min="7" max="7" width="35.86"/>
    <col customWidth="1" min="8" max="8" width="37.29"/>
    <col customWidth="1" min="9" max="9" width="17.29"/>
    <col customWidth="1" min="10" max="10" width="28.71"/>
    <col customWidth="1" min="11" max="11" width="13.0"/>
    <col customWidth="1" min="12" max="12" width="17.29"/>
  </cols>
  <sheetData>
    <row r="1" ht="30.0" customHeight="1">
      <c r="A1" s="5" t="s">
        <v>2</v>
      </c>
    </row>
    <row r="2">
      <c r="A2" s="6" t="s">
        <v>10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19</v>
      </c>
      <c r="G2" s="6" t="s">
        <v>20</v>
      </c>
      <c r="H2" s="6" t="s">
        <v>21</v>
      </c>
      <c r="I2" s="6" t="s">
        <v>23</v>
      </c>
      <c r="J2" s="6" t="s">
        <v>25</v>
      </c>
      <c r="K2" s="6" t="s">
        <v>26</v>
      </c>
      <c r="L2" s="6" t="s">
        <v>27</v>
      </c>
    </row>
    <row r="3">
      <c r="A3" s="9" t="s">
        <v>30</v>
      </c>
      <c r="B3" s="9" t="s">
        <v>33</v>
      </c>
      <c r="C3" s="9" t="s">
        <v>35</v>
      </c>
      <c r="D3" s="9" t="s">
        <v>36</v>
      </c>
      <c r="E3" s="9" t="s">
        <v>37</v>
      </c>
      <c r="F3" s="9" t="s">
        <v>39</v>
      </c>
      <c r="G3" s="9" t="s">
        <v>41</v>
      </c>
      <c r="H3" s="9" t="s">
        <v>43</v>
      </c>
      <c r="I3" s="9" t="s">
        <v>44</v>
      </c>
      <c r="J3" s="10"/>
      <c r="K3" s="10"/>
      <c r="L3" s="10"/>
    </row>
    <row r="4">
      <c r="A4" s="11" t="s">
        <v>48</v>
      </c>
      <c r="B4" s="11" t="s">
        <v>51</v>
      </c>
      <c r="C4" s="11" t="s">
        <v>51</v>
      </c>
      <c r="D4" s="12"/>
      <c r="E4" s="12"/>
      <c r="F4" s="12"/>
      <c r="G4" s="12"/>
      <c r="H4" s="12"/>
      <c r="I4" s="13" t="s">
        <v>44</v>
      </c>
      <c r="J4" s="11" t="s">
        <v>55</v>
      </c>
      <c r="K4" s="13" t="s">
        <v>56</v>
      </c>
      <c r="L4" s="12"/>
    </row>
    <row r="5">
      <c r="A5" s="11" t="s">
        <v>59</v>
      </c>
      <c r="B5" s="11" t="s">
        <v>60</v>
      </c>
      <c r="C5" s="11" t="s">
        <v>60</v>
      </c>
      <c r="D5" s="12"/>
      <c r="E5" s="12"/>
      <c r="F5" s="12"/>
      <c r="G5" s="12"/>
      <c r="H5" s="12"/>
      <c r="I5" s="13" t="s">
        <v>44</v>
      </c>
      <c r="J5" s="11" t="s">
        <v>66</v>
      </c>
      <c r="K5" s="13" t="s">
        <v>56</v>
      </c>
      <c r="L5" s="12"/>
    </row>
    <row r="6">
      <c r="A6" s="11" t="s">
        <v>69</v>
      </c>
      <c r="B6" s="11" t="s">
        <v>71</v>
      </c>
      <c r="C6" s="11" t="s">
        <v>71</v>
      </c>
      <c r="D6" s="12"/>
      <c r="E6" s="12"/>
      <c r="F6" s="12"/>
      <c r="G6" s="12"/>
      <c r="H6" s="12"/>
      <c r="I6" s="13" t="s">
        <v>44</v>
      </c>
      <c r="J6" s="11" t="s">
        <v>72</v>
      </c>
      <c r="K6" s="13" t="s">
        <v>56</v>
      </c>
      <c r="L6" s="12"/>
    </row>
    <row r="7">
      <c r="A7" s="11" t="s">
        <v>73</v>
      </c>
      <c r="B7" s="11" t="s">
        <v>74</v>
      </c>
      <c r="C7" s="11" t="s">
        <v>74</v>
      </c>
      <c r="D7" s="12"/>
      <c r="E7" s="12"/>
      <c r="F7" s="12"/>
      <c r="G7" s="12"/>
      <c r="H7" s="12"/>
      <c r="I7" s="13" t="s">
        <v>44</v>
      </c>
      <c r="J7" s="11" t="s">
        <v>75</v>
      </c>
      <c r="K7" s="13" t="s">
        <v>56</v>
      </c>
      <c r="L7" s="12"/>
    </row>
    <row r="8">
      <c r="A8" s="11" t="s">
        <v>76</v>
      </c>
      <c r="B8" s="11" t="s">
        <v>77</v>
      </c>
      <c r="C8" s="11" t="s">
        <v>78</v>
      </c>
      <c r="D8" s="12"/>
      <c r="E8" s="12"/>
      <c r="F8" s="12"/>
      <c r="G8" s="12"/>
      <c r="H8" s="12"/>
      <c r="I8" s="13" t="s">
        <v>44</v>
      </c>
      <c r="J8" s="11" t="s">
        <v>79</v>
      </c>
      <c r="K8" s="13" t="s">
        <v>56</v>
      </c>
      <c r="L8" s="12"/>
    </row>
    <row r="9">
      <c r="A9" s="11" t="s">
        <v>80</v>
      </c>
      <c r="B9" s="11" t="s">
        <v>81</v>
      </c>
      <c r="C9" s="11" t="s">
        <v>82</v>
      </c>
      <c r="D9" s="12"/>
      <c r="E9" s="12"/>
      <c r="F9" s="12"/>
      <c r="G9" s="12"/>
      <c r="H9" s="12"/>
      <c r="I9" s="13" t="s">
        <v>44</v>
      </c>
      <c r="J9" s="11" t="s">
        <v>83</v>
      </c>
      <c r="K9" s="13" t="s">
        <v>56</v>
      </c>
      <c r="L9" s="12"/>
    </row>
    <row r="10">
      <c r="A10" s="11" t="s">
        <v>84</v>
      </c>
      <c r="B10" s="11" t="s">
        <v>85</v>
      </c>
      <c r="C10" s="11" t="s">
        <v>86</v>
      </c>
      <c r="D10" s="12"/>
      <c r="E10" s="12"/>
      <c r="F10" s="12"/>
      <c r="G10" s="12"/>
      <c r="H10" s="12"/>
      <c r="I10" s="13" t="s">
        <v>44</v>
      </c>
      <c r="J10" s="11" t="s">
        <v>87</v>
      </c>
      <c r="K10" s="13" t="s">
        <v>56</v>
      </c>
      <c r="L10" s="12"/>
    </row>
    <row r="11">
      <c r="A11" s="11" t="s">
        <v>88</v>
      </c>
      <c r="B11" s="11" t="s">
        <v>89</v>
      </c>
      <c r="C11" s="11" t="s">
        <v>89</v>
      </c>
      <c r="D11" s="12"/>
      <c r="E11" s="12"/>
      <c r="F11" s="12"/>
      <c r="G11" s="12"/>
      <c r="H11" s="12"/>
      <c r="I11" s="13" t="s">
        <v>44</v>
      </c>
      <c r="J11" s="11" t="s">
        <v>92</v>
      </c>
      <c r="K11" s="13" t="s">
        <v>56</v>
      </c>
      <c r="L11" s="12"/>
    </row>
    <row r="12">
      <c r="A12" s="11" t="s">
        <v>93</v>
      </c>
      <c r="B12" s="11" t="s">
        <v>94</v>
      </c>
      <c r="C12" s="11" t="s">
        <v>94</v>
      </c>
      <c r="D12" s="12"/>
      <c r="E12" s="12"/>
      <c r="F12" s="12"/>
      <c r="G12" s="12"/>
      <c r="H12" s="12"/>
      <c r="I12" s="13" t="s">
        <v>44</v>
      </c>
      <c r="J12" s="11" t="s">
        <v>95</v>
      </c>
      <c r="K12" s="13" t="s">
        <v>56</v>
      </c>
      <c r="L12" s="12"/>
    </row>
    <row r="13">
      <c r="A13" s="11" t="s">
        <v>96</v>
      </c>
      <c r="B13" s="11" t="s">
        <v>97</v>
      </c>
      <c r="C13" s="11" t="s">
        <v>97</v>
      </c>
      <c r="D13" s="12"/>
      <c r="E13" s="12"/>
      <c r="F13" s="12"/>
      <c r="G13" s="12"/>
      <c r="H13" s="12"/>
      <c r="I13" s="13" t="s">
        <v>44</v>
      </c>
      <c r="J13" s="11" t="s">
        <v>98</v>
      </c>
      <c r="K13" s="13" t="s">
        <v>56</v>
      </c>
      <c r="L13" s="12"/>
    </row>
    <row r="14">
      <c r="A14" s="11" t="s">
        <v>99</v>
      </c>
      <c r="B14" s="11" t="s">
        <v>100</v>
      </c>
      <c r="C14" s="11" t="s">
        <v>100</v>
      </c>
      <c r="D14" s="12"/>
      <c r="E14" s="12"/>
      <c r="F14" s="12"/>
      <c r="G14" s="12"/>
      <c r="H14" s="12"/>
      <c r="I14" s="13" t="s">
        <v>44</v>
      </c>
      <c r="J14" s="11" t="s">
        <v>102</v>
      </c>
      <c r="K14" s="13" t="s">
        <v>56</v>
      </c>
      <c r="L14" s="12"/>
    </row>
    <row r="15">
      <c r="A15" s="11" t="s">
        <v>103</v>
      </c>
      <c r="B15" s="11" t="s">
        <v>104</v>
      </c>
      <c r="C15" s="11" t="s">
        <v>105</v>
      </c>
      <c r="D15" s="12"/>
      <c r="E15" s="12"/>
      <c r="F15" s="12"/>
      <c r="G15" s="12"/>
      <c r="H15" s="12"/>
      <c r="I15" s="13" t="s">
        <v>44</v>
      </c>
      <c r="J15" s="11" t="s">
        <v>106</v>
      </c>
      <c r="K15" s="13" t="s">
        <v>56</v>
      </c>
      <c r="L15" s="12"/>
    </row>
    <row r="16">
      <c r="A16" s="11" t="s">
        <v>107</v>
      </c>
      <c r="B16" s="11" t="s">
        <v>108</v>
      </c>
      <c r="C16" s="11" t="s">
        <v>108</v>
      </c>
      <c r="D16" s="12"/>
      <c r="E16" s="12"/>
      <c r="F16" s="12"/>
      <c r="G16" s="12"/>
      <c r="H16" s="12"/>
      <c r="I16" s="13" t="s">
        <v>44</v>
      </c>
      <c r="J16" s="11" t="s">
        <v>109</v>
      </c>
      <c r="K16" s="13" t="s">
        <v>56</v>
      </c>
      <c r="L16" s="12"/>
    </row>
    <row r="17">
      <c r="A17" s="11" t="s">
        <v>110</v>
      </c>
      <c r="B17" s="11" t="s">
        <v>111</v>
      </c>
      <c r="C17" s="11" t="s">
        <v>112</v>
      </c>
      <c r="D17" s="12"/>
      <c r="E17" s="12"/>
      <c r="F17" s="12"/>
      <c r="G17" s="12"/>
      <c r="H17" s="12"/>
      <c r="I17" s="13" t="s">
        <v>44</v>
      </c>
      <c r="J17" s="11" t="s">
        <v>114</v>
      </c>
      <c r="K17" s="13" t="s">
        <v>56</v>
      </c>
      <c r="L17" s="12"/>
    </row>
    <row r="18">
      <c r="A18" s="11" t="s">
        <v>115</v>
      </c>
      <c r="B18" s="11" t="s">
        <v>116</v>
      </c>
      <c r="C18" s="11" t="s">
        <v>116</v>
      </c>
      <c r="D18" s="12"/>
      <c r="E18" s="12"/>
      <c r="F18" s="12"/>
      <c r="G18" s="12"/>
      <c r="H18" s="12"/>
      <c r="I18" s="13" t="s">
        <v>44</v>
      </c>
      <c r="J18" s="11" t="s">
        <v>117</v>
      </c>
      <c r="K18" s="13" t="s">
        <v>56</v>
      </c>
      <c r="L18" s="12"/>
    </row>
    <row r="19">
      <c r="A19" s="11" t="s">
        <v>118</v>
      </c>
      <c r="B19" s="11" t="s">
        <v>119</v>
      </c>
      <c r="C19" s="11" t="s">
        <v>120</v>
      </c>
      <c r="D19" s="12"/>
      <c r="E19" s="12"/>
      <c r="F19" s="12"/>
      <c r="G19" s="12"/>
      <c r="H19" s="12"/>
      <c r="I19" s="13" t="s">
        <v>44</v>
      </c>
      <c r="J19" s="11" t="s">
        <v>121</v>
      </c>
      <c r="K19" s="13" t="s">
        <v>56</v>
      </c>
      <c r="L19" s="12"/>
    </row>
    <row r="20">
      <c r="A20" s="11" t="s">
        <v>122</v>
      </c>
      <c r="B20" s="11" t="s">
        <v>123</v>
      </c>
      <c r="C20" s="11" t="s">
        <v>123</v>
      </c>
      <c r="D20" s="12"/>
      <c r="E20" s="12"/>
      <c r="F20" s="12"/>
      <c r="G20" s="12"/>
      <c r="H20" s="12"/>
      <c r="I20" s="13" t="s">
        <v>44</v>
      </c>
      <c r="J20" s="11" t="s">
        <v>125</v>
      </c>
      <c r="K20" s="13" t="s">
        <v>56</v>
      </c>
      <c r="L20" s="12"/>
    </row>
    <row r="21">
      <c r="A21" s="11" t="s">
        <v>126</v>
      </c>
      <c r="B21" s="11" t="s">
        <v>127</v>
      </c>
      <c r="C21" s="11" t="s">
        <v>127</v>
      </c>
      <c r="D21" s="12"/>
      <c r="E21" s="12"/>
      <c r="F21" s="12"/>
      <c r="G21" s="12"/>
      <c r="H21" s="12"/>
      <c r="I21" s="13" t="s">
        <v>44</v>
      </c>
      <c r="J21" s="11" t="s">
        <v>128</v>
      </c>
      <c r="K21" s="13" t="s">
        <v>56</v>
      </c>
      <c r="L21" s="12"/>
    </row>
    <row r="22">
      <c r="A22" s="11" t="s">
        <v>129</v>
      </c>
      <c r="B22" s="11" t="s">
        <v>130</v>
      </c>
      <c r="C22" s="11" t="s">
        <v>130</v>
      </c>
      <c r="D22" s="12"/>
      <c r="E22" s="12"/>
      <c r="F22" s="12"/>
      <c r="G22" s="12"/>
      <c r="H22" s="12"/>
      <c r="I22" s="13" t="s">
        <v>44</v>
      </c>
      <c r="J22" s="11" t="s">
        <v>131</v>
      </c>
      <c r="K22" s="13" t="s">
        <v>56</v>
      </c>
      <c r="L22" s="12"/>
    </row>
    <row r="23">
      <c r="A23" s="11" t="s">
        <v>132</v>
      </c>
      <c r="B23" s="11" t="s">
        <v>133</v>
      </c>
      <c r="C23" s="11" t="s">
        <v>133</v>
      </c>
      <c r="D23" s="12"/>
      <c r="E23" s="12"/>
      <c r="F23" s="12"/>
      <c r="G23" s="12"/>
      <c r="H23" s="12"/>
      <c r="I23" s="13" t="s">
        <v>44</v>
      </c>
      <c r="J23" s="11" t="s">
        <v>135</v>
      </c>
      <c r="K23" s="13" t="s">
        <v>56</v>
      </c>
      <c r="L23" s="12"/>
    </row>
    <row r="24">
      <c r="A24" s="11" t="s">
        <v>136</v>
      </c>
      <c r="B24" s="11" t="s">
        <v>137</v>
      </c>
      <c r="C24" s="11" t="s">
        <v>137</v>
      </c>
      <c r="D24" s="12"/>
      <c r="E24" s="12"/>
      <c r="F24" s="12"/>
      <c r="G24" s="12"/>
      <c r="H24" s="12"/>
      <c r="I24" s="13" t="s">
        <v>44</v>
      </c>
      <c r="J24" s="11" t="s">
        <v>139</v>
      </c>
      <c r="K24" s="13" t="s">
        <v>56</v>
      </c>
      <c r="L24" s="12"/>
    </row>
  </sheetData>
  <mergeCells count="1">
    <mergeCell ref="A1:L1"/>
  </mergeCells>
  <dataValidations>
    <dataValidation type="list" allowBlank="1" sqref="I4:I24">
      <formula1>"PENDIENTE,CAPTURADO,VERIFICADO,NO APLICA"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4.0"/>
    <col customWidth="1" min="3" max="3" width="18.0"/>
    <col customWidth="1" min="4" max="4" width="44.0"/>
    <col customWidth="1" min="5" max="5" width="3.0"/>
    <col customWidth="1" min="6" max="6" width="26.0"/>
    <col customWidth="1" min="7" max="7" width="12.0"/>
    <col customWidth="1" min="8" max="26" width="8.71"/>
  </cols>
  <sheetData>
    <row r="1">
      <c r="A1" s="1"/>
      <c r="B1" s="1"/>
      <c r="C1" s="1"/>
      <c r="D1" s="1"/>
      <c r="E1" s="1"/>
      <c r="F1" s="1"/>
      <c r="G1" s="1"/>
    </row>
    <row r="2" ht="17.25" customHeight="1">
      <c r="A2" s="1"/>
      <c r="B2" s="2" t="s">
        <v>29</v>
      </c>
      <c r="C2" s="1"/>
      <c r="D2" s="1"/>
      <c r="E2" s="1"/>
      <c r="F2" s="1"/>
      <c r="G2" s="1"/>
    </row>
    <row r="3" ht="15.0" customHeight="1">
      <c r="A3" s="1"/>
      <c r="B3" s="4" t="s">
        <v>42</v>
      </c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 ht="15.0" customHeight="1">
      <c r="A5" s="1"/>
      <c r="B5" s="7" t="s">
        <v>54</v>
      </c>
      <c r="C5" s="14">
        <v>140000.0</v>
      </c>
      <c r="D5" s="4" t="s">
        <v>64</v>
      </c>
      <c r="E5" s="1"/>
      <c r="F5" s="7" t="s">
        <v>67</v>
      </c>
      <c r="G5" s="15">
        <f>COUNTIFS(LEADS!B:B,"&lt;&gt;",LEADS!R:R,"",LEADS!P:P,"&lt;&gt;Cerrado GANADO",LEADS!P:P,"&lt;&gt;Cerrado PERDIDO",LEADS!P:P,"&lt;&gt;Dormido")</f>
        <v>1</v>
      </c>
    </row>
    <row r="6" ht="15.0" customHeight="1">
      <c r="A6" s="1"/>
      <c r="B6" s="1"/>
      <c r="C6" s="1"/>
      <c r="D6" s="1"/>
      <c r="E6" s="1"/>
      <c r="F6" s="4" t="s">
        <v>90</v>
      </c>
      <c r="G6" s="1"/>
    </row>
    <row r="7" ht="15.0" customHeight="1">
      <c r="A7" s="1"/>
      <c r="B7" s="7" t="s">
        <v>91</v>
      </c>
      <c r="C7" s="16">
        <f>COUNTIF(PIPELINE!F:F,"Propuesta enviada")+COUNTIF(PIPELINE!F:F,"Negociación")+COUNTIF(PIPELINE!F:F,"Contrato")</f>
        <v>2</v>
      </c>
      <c r="D7" s="1"/>
      <c r="E7" s="1"/>
      <c r="F7" s="1"/>
      <c r="G7" s="1"/>
    </row>
    <row r="8" ht="15.0" customHeight="1">
      <c r="A8" s="1"/>
      <c r="B8" s="7" t="s">
        <v>101</v>
      </c>
      <c r="C8" s="17">
        <f>SUMIFS(PIPELINE!I:I,PIPELINE!F:F,"&lt;&gt;Cerrado PERDIDO",PIPELINE!F:F,"&lt;&gt;Cerrado GANADO",PIPELINE!F:F,"&lt;&gt;")</f>
        <v>230000</v>
      </c>
      <c r="D8" s="1"/>
      <c r="E8" s="1"/>
      <c r="F8" s="1"/>
      <c r="G8" s="1"/>
    </row>
    <row r="9" ht="15.0" customHeight="1">
      <c r="A9" s="1"/>
      <c r="B9" s="7" t="s">
        <v>113</v>
      </c>
      <c r="C9" s="17">
        <f>SUMIFS(PIPELINE!J:J,PIPELINE!F:F,"&lt;&gt;Cerrado PERDIDO",PIPELINE!F:F,"&lt;&gt;Cerrado GANADO",PIPELINE!F:F,"&lt;&gt;")</f>
        <v>137500</v>
      </c>
      <c r="D9" s="1"/>
      <c r="E9" s="1"/>
      <c r="F9" s="1"/>
      <c r="G9" s="1"/>
    </row>
    <row r="10" ht="15.0" customHeight="1">
      <c r="A10" s="1"/>
      <c r="B10" s="7" t="s">
        <v>124</v>
      </c>
      <c r="C10" s="18">
        <f>SUMIFS(PIPELINE!I:I,PIPELINE!F:F,"Cerrado GANADO")</f>
        <v>120000</v>
      </c>
      <c r="D10" s="1"/>
      <c r="E10" s="1"/>
      <c r="F10" s="1"/>
      <c r="G10" s="1"/>
    </row>
    <row r="11">
      <c r="A11" s="1"/>
      <c r="B11" s="1"/>
      <c r="C11" s="1"/>
      <c r="D11" s="1"/>
      <c r="E11" s="1"/>
      <c r="F11" s="1"/>
      <c r="G11" s="1"/>
    </row>
    <row r="12" ht="15.0" customHeight="1">
      <c r="A12" s="1"/>
      <c r="B12" s="19" t="s">
        <v>134</v>
      </c>
      <c r="C12" s="1"/>
      <c r="D12" s="1"/>
      <c r="E12" s="1"/>
      <c r="F12" s="19" t="s">
        <v>138</v>
      </c>
      <c r="G12" s="1"/>
    </row>
    <row r="13" ht="15.0" customHeight="1">
      <c r="A13" s="1"/>
      <c r="B13" s="20" t="s">
        <v>140</v>
      </c>
      <c r="C13" s="20" t="s">
        <v>141</v>
      </c>
      <c r="D13" s="20" t="s">
        <v>142</v>
      </c>
      <c r="E13" s="1"/>
      <c r="F13" s="20" t="s">
        <v>143</v>
      </c>
      <c r="G13" s="20" t="s">
        <v>144</v>
      </c>
    </row>
    <row r="14" ht="15.0" customHeight="1">
      <c r="A14" s="1"/>
      <c r="B14" s="21" t="s">
        <v>145</v>
      </c>
      <c r="C14" s="22">
        <f>SUMIFS(PIPELINE!J:J,PIPELINE!L:L,B14,PIPELINE!F:F,"&lt;&gt;Cerrado PERDIDO")</f>
        <v>0</v>
      </c>
      <c r="D14" s="24">
        <f t="shared" ref="D14:D20" si="1">IF(C14="","",C14-$C$5)</f>
        <v>-140000</v>
      </c>
      <c r="E14" s="1"/>
      <c r="F14" s="21" t="s">
        <v>158</v>
      </c>
      <c r="G14" s="21">
        <f>COUNTIF(LEADS!P:P,F14)</f>
        <v>1</v>
      </c>
    </row>
    <row r="15" ht="15.0" customHeight="1">
      <c r="A15" s="1"/>
      <c r="B15" s="21" t="s">
        <v>188</v>
      </c>
      <c r="C15" s="22">
        <f>SUMIFS(PIPELINE!J:J,PIPELINE!L:L,B15,PIPELINE!F:F,"&lt;&gt;Cerrado PERDIDO")</f>
        <v>0</v>
      </c>
      <c r="D15" s="24">
        <f t="shared" si="1"/>
        <v>-140000</v>
      </c>
      <c r="E15" s="1"/>
      <c r="F15" s="21" t="s">
        <v>168</v>
      </c>
      <c r="G15" s="21">
        <f>COUNTIF(LEADS!P:P,F15)</f>
        <v>0</v>
      </c>
    </row>
    <row r="16" ht="15.0" customHeight="1">
      <c r="A16" s="1"/>
      <c r="B16" s="21" t="s">
        <v>203</v>
      </c>
      <c r="C16" s="22">
        <f>SUMIFS(PIPELINE!J:J,PIPELINE!L:L,B16,PIPELINE!F:F,"&lt;&gt;Cerrado PERDIDO")</f>
        <v>0</v>
      </c>
      <c r="D16" s="24">
        <f t="shared" si="1"/>
        <v>-140000</v>
      </c>
      <c r="E16" s="1"/>
      <c r="F16" s="21" t="s">
        <v>177</v>
      </c>
      <c r="G16" s="21">
        <f>COUNTIF(LEADS!P:P,F16)</f>
        <v>1</v>
      </c>
    </row>
    <row r="17" ht="15.0" customHeight="1">
      <c r="A17" s="1"/>
      <c r="B17" s="21" t="s">
        <v>211</v>
      </c>
      <c r="C17" s="22">
        <f>SUMIFS(PIPELINE!J:J,PIPELINE!L:L,B17,PIPELINE!F:F,"&lt;&gt;Cerrado PERDIDO")</f>
        <v>0</v>
      </c>
      <c r="D17" s="24">
        <f t="shared" si="1"/>
        <v>-140000</v>
      </c>
      <c r="E17" s="1"/>
      <c r="F17" s="21" t="s">
        <v>187</v>
      </c>
      <c r="G17" s="21">
        <f>COUNTIF(LEADS!P:P,F17)</f>
        <v>0</v>
      </c>
    </row>
    <row r="18" ht="15.0" customHeight="1">
      <c r="A18" s="1"/>
      <c r="B18" s="21" t="s">
        <v>214</v>
      </c>
      <c r="C18" s="22">
        <f>SUMIFS(PIPELINE!J:J,PIPELINE!L:L,B18,PIPELINE!F:F,"&lt;&gt;Cerrado PERDIDO")</f>
        <v>0</v>
      </c>
      <c r="D18" s="24">
        <f t="shared" si="1"/>
        <v>-140000</v>
      </c>
      <c r="E18" s="1"/>
      <c r="F18" s="21" t="s">
        <v>164</v>
      </c>
      <c r="G18" s="21">
        <f>COUNTIF(LEADS!P:P,F18)</f>
        <v>0</v>
      </c>
    </row>
    <row r="19" ht="15.0" customHeight="1">
      <c r="A19" s="1"/>
      <c r="B19" s="21" t="s">
        <v>216</v>
      </c>
      <c r="C19" s="22">
        <f>SUMIFS(PIPELINE!J:J,PIPELINE!L:L,B19,PIPELINE!F:F,"&lt;&gt;Cerrado PERDIDO")</f>
        <v>0</v>
      </c>
      <c r="D19" s="24">
        <f t="shared" si="1"/>
        <v>-140000</v>
      </c>
      <c r="E19" s="1"/>
      <c r="F19" s="21" t="s">
        <v>173</v>
      </c>
      <c r="G19" s="21">
        <f>COUNTIF(LEADS!P:P,F19)</f>
        <v>0</v>
      </c>
    </row>
    <row r="20" ht="15.0" customHeight="1">
      <c r="A20" s="1"/>
      <c r="B20" s="21" t="s">
        <v>217</v>
      </c>
      <c r="C20" s="22">
        <f>SUMIFS(PIPELINE!J:J,PIPELINE!L:L,B20,PIPELINE!F:F,"&lt;&gt;Cerrado PERDIDO")</f>
        <v>0</v>
      </c>
      <c r="D20" s="24">
        <f t="shared" si="1"/>
        <v>-140000</v>
      </c>
      <c r="E20" s="1"/>
      <c r="F20" s="21" t="s">
        <v>191</v>
      </c>
      <c r="G20" s="21">
        <f>COUNTIF(LEADS!P:P,F20)</f>
        <v>0</v>
      </c>
    </row>
    <row r="21" ht="15.0" customHeight="1">
      <c r="A21" s="1"/>
      <c r="B21" s="1"/>
      <c r="C21" s="1"/>
      <c r="D21" s="1"/>
      <c r="E21" s="1"/>
      <c r="F21" s="21" t="s">
        <v>197</v>
      </c>
      <c r="G21" s="21">
        <f>COUNTIF(LEADS!P:P,F21)</f>
        <v>0</v>
      </c>
    </row>
    <row r="22" ht="15.0" customHeight="1">
      <c r="A22" s="1"/>
      <c r="B22" s="1"/>
      <c r="C22" s="1"/>
      <c r="D22" s="1"/>
      <c r="E22" s="1"/>
      <c r="F22" s="21" t="s">
        <v>208</v>
      </c>
      <c r="G22" s="21">
        <f>COUNTIF(LEADS!P:P,F22)</f>
        <v>0</v>
      </c>
    </row>
    <row r="23" ht="15.75" customHeight="1">
      <c r="A23" s="1"/>
      <c r="B23" s="1"/>
      <c r="C23" s="1"/>
      <c r="D23" s="1"/>
      <c r="E23" s="1"/>
      <c r="F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26.0"/>
    <col customWidth="1" min="11" max="26" width="8.71"/>
  </cols>
  <sheetData>
    <row r="1" ht="27.75" customHeight="1">
      <c r="A1" s="23" t="s">
        <v>146</v>
      </c>
      <c r="B1" s="23" t="s">
        <v>147</v>
      </c>
      <c r="C1" s="23" t="s">
        <v>148</v>
      </c>
      <c r="D1" s="23" t="s">
        <v>149</v>
      </c>
      <c r="E1" s="23" t="s">
        <v>150</v>
      </c>
      <c r="F1" s="23" t="s">
        <v>151</v>
      </c>
      <c r="G1" s="23" t="s">
        <v>152</v>
      </c>
      <c r="H1" s="23" t="s">
        <v>153</v>
      </c>
      <c r="I1" s="23" t="s">
        <v>154</v>
      </c>
      <c r="J1" s="23" t="s">
        <v>155</v>
      </c>
    </row>
    <row r="2" ht="15.0" customHeight="1">
      <c r="A2" s="8" t="s">
        <v>156</v>
      </c>
      <c r="B2" s="8" t="s">
        <v>157</v>
      </c>
      <c r="C2" s="8" t="s">
        <v>158</v>
      </c>
      <c r="D2" s="8" t="s">
        <v>159</v>
      </c>
      <c r="E2" s="8" t="s">
        <v>160</v>
      </c>
      <c r="F2" s="8" t="s">
        <v>161</v>
      </c>
      <c r="G2" s="8" t="s">
        <v>162</v>
      </c>
      <c r="H2" s="8" t="s">
        <v>163</v>
      </c>
      <c r="I2" s="8" t="s">
        <v>164</v>
      </c>
      <c r="J2" s="8" t="s">
        <v>165</v>
      </c>
    </row>
    <row r="3" ht="15.0" customHeight="1">
      <c r="A3" s="8" t="s">
        <v>166</v>
      </c>
      <c r="B3" s="8" t="s">
        <v>167</v>
      </c>
      <c r="C3" s="8" t="s">
        <v>168</v>
      </c>
      <c r="D3" s="8" t="s">
        <v>169</v>
      </c>
      <c r="E3" s="8" t="s">
        <v>170</v>
      </c>
      <c r="F3" s="8" t="s">
        <v>171</v>
      </c>
      <c r="G3" s="8" t="s">
        <v>51</v>
      </c>
      <c r="H3" s="8" t="s">
        <v>172</v>
      </c>
      <c r="I3" s="8" t="s">
        <v>173</v>
      </c>
      <c r="J3" s="8" t="s">
        <v>174</v>
      </c>
    </row>
    <row r="4" ht="15.0" customHeight="1">
      <c r="A4" s="8" t="s">
        <v>175</v>
      </c>
      <c r="B4" s="8" t="s">
        <v>176</v>
      </c>
      <c r="C4" s="8" t="s">
        <v>177</v>
      </c>
      <c r="D4" s="8" t="s">
        <v>178</v>
      </c>
      <c r="E4" s="8" t="s">
        <v>179</v>
      </c>
      <c r="F4" s="8" t="s">
        <v>180</v>
      </c>
      <c r="G4" s="8" t="s">
        <v>181</v>
      </c>
      <c r="H4" s="8" t="s">
        <v>182</v>
      </c>
      <c r="I4" s="8" t="s">
        <v>183</v>
      </c>
      <c r="J4" s="8" t="s">
        <v>184</v>
      </c>
    </row>
    <row r="5" ht="15.0" customHeight="1">
      <c r="A5" s="8" t="s">
        <v>185</v>
      </c>
      <c r="B5" s="8" t="s">
        <v>186</v>
      </c>
      <c r="C5" s="8" t="s">
        <v>187</v>
      </c>
      <c r="D5" s="1"/>
      <c r="E5" s="1"/>
      <c r="F5" s="8" t="s">
        <v>189</v>
      </c>
      <c r="G5" s="8" t="s">
        <v>71</v>
      </c>
      <c r="H5" s="8" t="s">
        <v>190</v>
      </c>
      <c r="I5" s="8" t="s">
        <v>191</v>
      </c>
      <c r="J5" s="8" t="s">
        <v>192</v>
      </c>
    </row>
    <row r="6" ht="15.0" customHeight="1">
      <c r="A6" s="8" t="s">
        <v>193</v>
      </c>
      <c r="B6" s="8" t="s">
        <v>194</v>
      </c>
      <c r="C6" s="8" t="s">
        <v>164</v>
      </c>
      <c r="D6" s="1"/>
      <c r="E6" s="1"/>
      <c r="F6" s="8" t="s">
        <v>195</v>
      </c>
      <c r="G6" s="8" t="s">
        <v>196</v>
      </c>
      <c r="H6" s="1"/>
      <c r="I6" s="8" t="s">
        <v>197</v>
      </c>
      <c r="J6" s="1"/>
    </row>
    <row r="7" ht="15.0" customHeight="1">
      <c r="A7" s="8" t="s">
        <v>198</v>
      </c>
      <c r="B7" s="8" t="s">
        <v>199</v>
      </c>
      <c r="C7" s="8" t="s">
        <v>173</v>
      </c>
      <c r="D7" s="1"/>
      <c r="E7" s="1"/>
      <c r="F7" s="1"/>
      <c r="G7" s="8" t="s">
        <v>78</v>
      </c>
      <c r="H7" s="1"/>
      <c r="I7" s="1"/>
      <c r="J7" s="1"/>
    </row>
    <row r="8" ht="15.0" customHeight="1">
      <c r="A8" s="8" t="s">
        <v>200</v>
      </c>
      <c r="B8" s="8" t="s">
        <v>201</v>
      </c>
      <c r="C8" s="8" t="s">
        <v>191</v>
      </c>
      <c r="D8" s="1"/>
      <c r="E8" s="1"/>
      <c r="F8" s="1"/>
      <c r="G8" s="8" t="s">
        <v>202</v>
      </c>
      <c r="H8" s="1"/>
      <c r="I8" s="1"/>
      <c r="J8" s="1"/>
    </row>
    <row r="9" ht="15.0" customHeight="1">
      <c r="A9" s="8" t="s">
        <v>204</v>
      </c>
      <c r="B9" s="8" t="s">
        <v>205</v>
      </c>
      <c r="C9" s="8" t="s">
        <v>197</v>
      </c>
      <c r="D9" s="1"/>
      <c r="E9" s="1"/>
      <c r="F9" s="1"/>
      <c r="G9" s="8" t="s">
        <v>86</v>
      </c>
      <c r="H9" s="1"/>
      <c r="I9" s="1"/>
      <c r="J9" s="1"/>
    </row>
    <row r="10" ht="15.0" customHeight="1">
      <c r="A10" s="8" t="s">
        <v>206</v>
      </c>
      <c r="B10" s="8" t="s">
        <v>207</v>
      </c>
      <c r="C10" s="8" t="s">
        <v>208</v>
      </c>
      <c r="D10" s="1"/>
      <c r="E10" s="1"/>
      <c r="F10" s="1"/>
      <c r="G10" s="8" t="s">
        <v>89</v>
      </c>
      <c r="H10" s="1"/>
      <c r="I10" s="1"/>
      <c r="J10" s="1"/>
    </row>
    <row r="11" ht="15.0" customHeight="1">
      <c r="A11" s="8" t="s">
        <v>209</v>
      </c>
      <c r="B11" s="8" t="s">
        <v>210</v>
      </c>
      <c r="C11" s="1"/>
      <c r="D11" s="1"/>
      <c r="E11" s="1"/>
      <c r="F11" s="1"/>
      <c r="G11" s="8" t="s">
        <v>94</v>
      </c>
      <c r="H11" s="1"/>
      <c r="I11" s="1"/>
      <c r="J11" s="1"/>
    </row>
    <row r="12" ht="15.0" customHeight="1">
      <c r="A12" s="8" t="s">
        <v>190</v>
      </c>
      <c r="B12" s="1"/>
      <c r="C12" s="1"/>
      <c r="D12" s="1"/>
      <c r="E12" s="1"/>
      <c r="F12" s="1"/>
      <c r="G12" s="8" t="s">
        <v>97</v>
      </c>
      <c r="H12" s="1"/>
      <c r="I12" s="1"/>
      <c r="J12" s="1"/>
    </row>
    <row r="13" ht="15.0" customHeight="1">
      <c r="A13" s="1"/>
      <c r="B13" s="1"/>
      <c r="C13" s="1"/>
      <c r="D13" s="1"/>
      <c r="E13" s="1"/>
      <c r="F13" s="1"/>
      <c r="G13" s="8" t="s">
        <v>100</v>
      </c>
      <c r="H13" s="1"/>
      <c r="I13" s="1"/>
      <c r="J13" s="1"/>
    </row>
    <row r="14" ht="15.0" customHeight="1">
      <c r="A14" s="1"/>
      <c r="B14" s="1"/>
      <c r="C14" s="1"/>
      <c r="D14" s="1"/>
      <c r="E14" s="1"/>
      <c r="F14" s="1"/>
      <c r="G14" s="8" t="s">
        <v>212</v>
      </c>
      <c r="H14" s="1"/>
      <c r="I14" s="1"/>
      <c r="J14" s="1"/>
    </row>
    <row r="15" ht="15.0" customHeight="1">
      <c r="A15" s="1"/>
      <c r="B15" s="1"/>
      <c r="C15" s="1"/>
      <c r="D15" s="1"/>
      <c r="E15" s="1"/>
      <c r="F15" s="1"/>
      <c r="G15" s="8" t="s">
        <v>213</v>
      </c>
      <c r="H15" s="1"/>
      <c r="I15" s="1"/>
      <c r="J15" s="1"/>
    </row>
    <row r="16" ht="15.0" customHeight="1">
      <c r="A16" s="1"/>
      <c r="B16" s="1"/>
      <c r="C16" s="1"/>
      <c r="D16" s="1"/>
      <c r="E16" s="1"/>
      <c r="F16" s="1"/>
      <c r="G16" s="8" t="s">
        <v>215</v>
      </c>
      <c r="H16" s="1"/>
      <c r="I16" s="1"/>
      <c r="J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4" width="20.0"/>
    <col customWidth="1" min="5" max="6" width="22.0"/>
    <col customWidth="1" min="7" max="7" width="26.0"/>
    <col customWidth="1" min="8" max="8" width="18.0"/>
    <col customWidth="1" min="9" max="9" width="26.0"/>
    <col customWidth="1" min="10" max="10" width="14.0"/>
    <col customWidth="1" min="11" max="11" width="22.0"/>
    <col customWidth="1" min="12" max="12" width="16.0"/>
    <col customWidth="1" min="13" max="13" width="20.0"/>
    <col customWidth="1" min="14" max="14" width="24.0"/>
    <col customWidth="1" min="15" max="15" width="32.0"/>
    <col customWidth="1" min="16" max="16" width="18.0"/>
    <col customWidth="1" min="17" max="17" width="14.0"/>
    <col customWidth="1" min="18" max="18" width="30.0"/>
    <col customWidth="1" min="19" max="19" width="14.0"/>
    <col customWidth="1" min="20" max="20" width="12.0"/>
    <col customWidth="1" min="21" max="21" width="16.0"/>
    <col customWidth="1" min="22" max="22" width="36.0"/>
    <col customWidth="1" min="23" max="26" width="8.71"/>
  </cols>
  <sheetData>
    <row r="1" ht="25.5" customHeight="1">
      <c r="A1" s="25" t="s">
        <v>218</v>
      </c>
      <c r="B1" s="26" t="s">
        <v>219</v>
      </c>
      <c r="C1" s="27" t="s">
        <v>220</v>
      </c>
      <c r="D1" s="28" t="s">
        <v>221</v>
      </c>
      <c r="E1" s="29" t="s">
        <v>222</v>
      </c>
      <c r="F1" s="30" t="s">
        <v>223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.0" customHeight="1">
      <c r="A2" s="23" t="s">
        <v>224</v>
      </c>
      <c r="B2" s="23" t="s">
        <v>225</v>
      </c>
      <c r="C2" s="23" t="s">
        <v>226</v>
      </c>
      <c r="D2" s="23" t="s">
        <v>227</v>
      </c>
      <c r="E2" s="23" t="s">
        <v>228</v>
      </c>
      <c r="F2" s="23" t="s">
        <v>229</v>
      </c>
      <c r="G2" s="23" t="s">
        <v>230</v>
      </c>
      <c r="H2" s="23" t="s">
        <v>231</v>
      </c>
      <c r="I2" s="23" t="s">
        <v>232</v>
      </c>
      <c r="J2" s="23" t="s">
        <v>233</v>
      </c>
      <c r="K2" s="23" t="s">
        <v>234</v>
      </c>
      <c r="L2" s="23" t="s">
        <v>235</v>
      </c>
      <c r="M2" s="23" t="s">
        <v>236</v>
      </c>
      <c r="N2" s="23" t="s">
        <v>237</v>
      </c>
      <c r="O2" s="23" t="s">
        <v>238</v>
      </c>
      <c r="P2" s="23" t="s">
        <v>143</v>
      </c>
      <c r="Q2" s="23" t="s">
        <v>239</v>
      </c>
      <c r="R2" s="23" t="s">
        <v>240</v>
      </c>
      <c r="S2" s="23" t="s">
        <v>241</v>
      </c>
      <c r="T2" s="23" t="s">
        <v>26</v>
      </c>
      <c r="U2" s="23" t="s">
        <v>9</v>
      </c>
      <c r="V2" s="23" t="s">
        <v>242</v>
      </c>
    </row>
    <row r="3" ht="15.0" customHeight="1">
      <c r="A3" s="8" t="str">
        <f>IF(B2="","","L"&amp;TEXT(ROW()-1,"000"))</f>
        <v>L002</v>
      </c>
      <c r="B3" s="31" t="s">
        <v>243</v>
      </c>
      <c r="C3" s="31" t="s">
        <v>157</v>
      </c>
      <c r="D3" s="31" t="s">
        <v>156</v>
      </c>
      <c r="E3" s="31" t="s">
        <v>244</v>
      </c>
      <c r="F3" s="31" t="s">
        <v>245</v>
      </c>
      <c r="G3" s="31"/>
      <c r="H3" s="31"/>
      <c r="I3" s="31"/>
      <c r="J3" s="31" t="s">
        <v>246</v>
      </c>
      <c r="K3" s="31" t="s">
        <v>169</v>
      </c>
      <c r="L3" s="31" t="s">
        <v>160</v>
      </c>
      <c r="M3" s="31" t="s">
        <v>161</v>
      </c>
      <c r="N3" s="31" t="s">
        <v>162</v>
      </c>
      <c r="O3" s="31" t="s">
        <v>247</v>
      </c>
      <c r="P3" s="31" t="s">
        <v>158</v>
      </c>
      <c r="Q3" s="31"/>
      <c r="R3" s="31" t="s">
        <v>248</v>
      </c>
      <c r="S3" s="31"/>
      <c r="T3" s="31" t="s">
        <v>163</v>
      </c>
      <c r="U3" s="31" t="s">
        <v>249</v>
      </c>
      <c r="V3" s="31" t="s">
        <v>250</v>
      </c>
    </row>
    <row r="4" ht="15.0" customHeight="1">
      <c r="A4" s="32" t="s">
        <v>251</v>
      </c>
      <c r="B4" s="33" t="s">
        <v>252</v>
      </c>
      <c r="C4" s="33" t="s">
        <v>205</v>
      </c>
      <c r="D4" s="33" t="s">
        <v>204</v>
      </c>
      <c r="E4" s="33" t="s">
        <v>253</v>
      </c>
      <c r="F4" s="33" t="s">
        <v>254</v>
      </c>
      <c r="G4" s="33" t="s">
        <v>255</v>
      </c>
      <c r="H4" s="33" t="s">
        <v>256</v>
      </c>
      <c r="I4" s="33" t="s">
        <v>256</v>
      </c>
      <c r="J4" s="33" t="s">
        <v>246</v>
      </c>
      <c r="K4" s="33" t="s">
        <v>169</v>
      </c>
      <c r="L4" s="33" t="s">
        <v>170</v>
      </c>
      <c r="M4" s="33" t="s">
        <v>171</v>
      </c>
      <c r="N4" s="33" t="s">
        <v>215</v>
      </c>
      <c r="O4" s="33" t="s">
        <v>257</v>
      </c>
      <c r="P4" s="33" t="s">
        <v>177</v>
      </c>
      <c r="Q4" s="34" t="s">
        <v>258</v>
      </c>
      <c r="R4" s="33" t="s">
        <v>259</v>
      </c>
      <c r="S4" s="33" t="s">
        <v>256</v>
      </c>
      <c r="T4" s="33" t="s">
        <v>163</v>
      </c>
      <c r="U4" s="33" t="s">
        <v>260</v>
      </c>
      <c r="V4" s="33" t="s">
        <v>261</v>
      </c>
    </row>
    <row r="5" ht="15.0" customHeight="1">
      <c r="A5" s="8" t="str">
        <f t="shared" ref="A5:A501" si="1">IF(B4="","","L"&amp;TEXT(ROW()-1,"000"))</f>
        <v>L004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5.0" customHeight="1">
      <c r="A6" s="8" t="str">
        <f t="shared" si="1"/>
        <v/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5.0" customHeight="1">
      <c r="A7" s="8" t="str">
        <f t="shared" si="1"/>
        <v/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5.0" customHeight="1">
      <c r="A8" s="8" t="str">
        <f t="shared" si="1"/>
        <v/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5.0" customHeight="1">
      <c r="A9" s="8" t="str">
        <f t="shared" si="1"/>
        <v/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5.0" customHeight="1">
      <c r="A10" s="8" t="str">
        <f t="shared" si="1"/>
        <v/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5.0" customHeight="1">
      <c r="A11" s="8" t="str">
        <f t="shared" si="1"/>
        <v/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5.0" customHeight="1">
      <c r="A12" s="8" t="str">
        <f t="shared" si="1"/>
        <v/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ht="15.0" customHeight="1">
      <c r="A13" s="8" t="str">
        <f t="shared" si="1"/>
        <v/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5.0" customHeight="1">
      <c r="A14" s="8" t="str">
        <f t="shared" si="1"/>
        <v/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5.0" customHeight="1">
      <c r="A15" s="8" t="str">
        <f t="shared" si="1"/>
        <v/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5.0" customHeight="1">
      <c r="A16" s="8" t="str">
        <f t="shared" si="1"/>
        <v/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5.0" customHeight="1">
      <c r="A17" s="8" t="str">
        <f t="shared" si="1"/>
        <v/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5.0" customHeight="1">
      <c r="A18" s="8" t="str">
        <f t="shared" si="1"/>
        <v/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5.0" customHeight="1">
      <c r="A19" s="8" t="str">
        <f t="shared" si="1"/>
        <v/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5.0" customHeight="1">
      <c r="A20" s="8" t="str">
        <f t="shared" si="1"/>
        <v/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5.0" customHeight="1">
      <c r="A21" s="8" t="str">
        <f t="shared" si="1"/>
        <v/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5.0" customHeight="1">
      <c r="A22" s="8" t="str">
        <f t="shared" si="1"/>
        <v/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5.0" customHeight="1">
      <c r="A23" s="8" t="str">
        <f t="shared" si="1"/>
        <v/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5.0" customHeight="1">
      <c r="A24" s="8" t="str">
        <f t="shared" si="1"/>
        <v/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5.0" customHeight="1">
      <c r="A25" s="8" t="str">
        <f t="shared" si="1"/>
        <v/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5.0" customHeight="1">
      <c r="A26" s="8" t="str">
        <f t="shared" si="1"/>
        <v/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5.0" customHeight="1">
      <c r="A27" s="8" t="str">
        <f t="shared" si="1"/>
        <v/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0" customHeight="1">
      <c r="A28" s="8" t="str">
        <f t="shared" si="1"/>
        <v/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5.0" customHeight="1">
      <c r="A29" s="8" t="str">
        <f t="shared" si="1"/>
        <v/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5.0" customHeight="1">
      <c r="A30" s="8" t="str">
        <f t="shared" si="1"/>
        <v/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5.0" customHeight="1">
      <c r="A31" s="8" t="str">
        <f t="shared" si="1"/>
        <v/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5.0" customHeight="1">
      <c r="A32" s="8" t="str">
        <f t="shared" si="1"/>
        <v/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0" customHeight="1">
      <c r="A33" s="8" t="str">
        <f t="shared" si="1"/>
        <v/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5.0" customHeight="1">
      <c r="A34" s="8" t="str">
        <f t="shared" si="1"/>
        <v/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5.0" customHeight="1">
      <c r="A35" s="8" t="str">
        <f t="shared" si="1"/>
        <v/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5.0" customHeight="1">
      <c r="A36" s="8" t="str">
        <f t="shared" si="1"/>
        <v/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5.0" customHeight="1">
      <c r="A37" s="8" t="str">
        <f t="shared" si="1"/>
        <v/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5.0" customHeight="1">
      <c r="A38" s="8" t="str">
        <f t="shared" si="1"/>
        <v/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ht="15.0" customHeight="1">
      <c r="A39" s="8" t="str">
        <f t="shared" si="1"/>
        <v/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ht="15.0" customHeight="1">
      <c r="A40" s="8" t="str">
        <f t="shared" si="1"/>
        <v/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ht="15.0" customHeight="1">
      <c r="A41" s="8" t="str">
        <f t="shared" si="1"/>
        <v/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ht="15.0" customHeight="1">
      <c r="A42" s="8" t="str">
        <f t="shared" si="1"/>
        <v/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ht="15.0" customHeight="1">
      <c r="A43" s="8" t="str">
        <f t="shared" si="1"/>
        <v/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ht="15.0" customHeight="1">
      <c r="A44" s="8" t="str">
        <f t="shared" si="1"/>
        <v/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5.0" customHeight="1">
      <c r="A45" s="8" t="str">
        <f t="shared" si="1"/>
        <v/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5.0" customHeight="1">
      <c r="A46" s="8" t="str">
        <f t="shared" si="1"/>
        <v/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ht="15.0" customHeight="1">
      <c r="A47" s="8" t="str">
        <f t="shared" si="1"/>
        <v/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ht="15.0" customHeight="1">
      <c r="A48" s="8" t="str">
        <f t="shared" si="1"/>
        <v/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5.0" customHeight="1">
      <c r="A49" s="8" t="str">
        <f t="shared" si="1"/>
        <v/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5.0" customHeight="1">
      <c r="A50" s="8" t="str">
        <f t="shared" si="1"/>
        <v/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0" customHeight="1">
      <c r="A51" s="8" t="str">
        <f t="shared" si="1"/>
        <v/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0" customHeight="1">
      <c r="A52" s="8" t="str">
        <f t="shared" si="1"/>
        <v/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0" customHeight="1">
      <c r="A53" s="8" t="str">
        <f t="shared" si="1"/>
        <v/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0" customHeight="1">
      <c r="A54" s="8" t="str">
        <f t="shared" si="1"/>
        <v/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0" customHeight="1">
      <c r="A55" s="8" t="str">
        <f t="shared" si="1"/>
        <v/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0" customHeight="1">
      <c r="A56" s="8" t="str">
        <f t="shared" si="1"/>
        <v/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0" customHeight="1">
      <c r="A57" s="8" t="str">
        <f t="shared" si="1"/>
        <v/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0" customHeight="1">
      <c r="A58" s="8" t="str">
        <f t="shared" si="1"/>
        <v/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0" customHeight="1">
      <c r="A59" s="8" t="str">
        <f t="shared" si="1"/>
        <v/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0" customHeight="1">
      <c r="A60" s="8" t="str">
        <f t="shared" si="1"/>
        <v/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0" customHeight="1">
      <c r="A61" s="8" t="str">
        <f t="shared" si="1"/>
        <v/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0" customHeight="1">
      <c r="A62" s="8" t="str">
        <f t="shared" si="1"/>
        <v/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0" customHeight="1">
      <c r="A63" s="8" t="str">
        <f t="shared" si="1"/>
        <v/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0" customHeight="1">
      <c r="A64" s="8" t="str">
        <f t="shared" si="1"/>
        <v/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0" customHeight="1">
      <c r="A65" s="8" t="str">
        <f t="shared" si="1"/>
        <v/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0" customHeight="1">
      <c r="A66" s="8" t="str">
        <f t="shared" si="1"/>
        <v/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0" customHeight="1">
      <c r="A67" s="8" t="str">
        <f t="shared" si="1"/>
        <v/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0" customHeight="1">
      <c r="A68" s="8" t="str">
        <f t="shared" si="1"/>
        <v/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0" customHeight="1">
      <c r="A69" s="8" t="str">
        <f t="shared" si="1"/>
        <v/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0" customHeight="1">
      <c r="A70" s="8" t="str">
        <f t="shared" si="1"/>
        <v/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0" customHeight="1">
      <c r="A71" s="8" t="str">
        <f t="shared" si="1"/>
        <v/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0" customHeight="1">
      <c r="A72" s="8" t="str">
        <f t="shared" si="1"/>
        <v/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0" customHeight="1">
      <c r="A73" s="8" t="str">
        <f t="shared" si="1"/>
        <v/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0" customHeight="1">
      <c r="A74" s="8" t="str">
        <f t="shared" si="1"/>
        <v/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0" customHeight="1">
      <c r="A75" s="8" t="str">
        <f t="shared" si="1"/>
        <v/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0" customHeight="1">
      <c r="A76" s="8" t="str">
        <f t="shared" si="1"/>
        <v/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0" customHeight="1">
      <c r="A77" s="8" t="str">
        <f t="shared" si="1"/>
        <v/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0" customHeight="1">
      <c r="A78" s="8" t="str">
        <f t="shared" si="1"/>
        <v/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0" customHeight="1">
      <c r="A79" s="8" t="str">
        <f t="shared" si="1"/>
        <v/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0" customHeight="1">
      <c r="A80" s="8" t="str">
        <f t="shared" si="1"/>
        <v/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0" customHeight="1">
      <c r="A81" s="8" t="str">
        <f t="shared" si="1"/>
        <v/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0" customHeight="1">
      <c r="A82" s="8" t="str">
        <f t="shared" si="1"/>
        <v/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0" customHeight="1">
      <c r="A83" s="8" t="str">
        <f t="shared" si="1"/>
        <v/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0" customHeight="1">
      <c r="A84" s="8" t="str">
        <f t="shared" si="1"/>
        <v/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0" customHeight="1">
      <c r="A85" s="8" t="str">
        <f t="shared" si="1"/>
        <v/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0" customHeight="1">
      <c r="A86" s="8" t="str">
        <f t="shared" si="1"/>
        <v/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0" customHeight="1">
      <c r="A87" s="8" t="str">
        <f t="shared" si="1"/>
        <v/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0" customHeight="1">
      <c r="A88" s="8" t="str">
        <f t="shared" si="1"/>
        <v/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0" customHeight="1">
      <c r="A89" s="8" t="str">
        <f t="shared" si="1"/>
        <v/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0" customHeight="1">
      <c r="A90" s="8" t="str">
        <f t="shared" si="1"/>
        <v/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0" customHeight="1">
      <c r="A91" s="8" t="str">
        <f t="shared" si="1"/>
        <v/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0" customHeight="1">
      <c r="A92" s="8" t="str">
        <f t="shared" si="1"/>
        <v/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0" customHeight="1">
      <c r="A93" s="8" t="str">
        <f t="shared" si="1"/>
        <v/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0" customHeight="1">
      <c r="A94" s="8" t="str">
        <f t="shared" si="1"/>
        <v/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0" customHeight="1">
      <c r="A95" s="8" t="str">
        <f t="shared" si="1"/>
        <v/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0" customHeight="1">
      <c r="A96" s="8" t="str">
        <f t="shared" si="1"/>
        <v/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0" customHeight="1">
      <c r="A97" s="8" t="str">
        <f t="shared" si="1"/>
        <v/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0" customHeight="1">
      <c r="A98" s="8" t="str">
        <f t="shared" si="1"/>
        <v/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0" customHeight="1">
      <c r="A99" s="8" t="str">
        <f t="shared" si="1"/>
        <v/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0" customHeight="1">
      <c r="A100" s="8" t="str">
        <f t="shared" si="1"/>
        <v/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ht="15.0" customHeight="1">
      <c r="A101" s="8" t="str">
        <f t="shared" si="1"/>
        <v/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ht="15.0" customHeight="1">
      <c r="A102" s="8" t="str">
        <f t="shared" si="1"/>
        <v/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ht="15.0" customHeight="1">
      <c r="A103" s="8" t="str">
        <f t="shared" si="1"/>
        <v/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ht="15.0" customHeight="1">
      <c r="A104" s="8" t="str">
        <f t="shared" si="1"/>
        <v/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ht="15.0" customHeight="1">
      <c r="A105" s="8" t="str">
        <f t="shared" si="1"/>
        <v/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ht="15.0" customHeight="1">
      <c r="A106" s="8" t="str">
        <f t="shared" si="1"/>
        <v/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ht="15.0" customHeight="1">
      <c r="A107" s="8" t="str">
        <f t="shared" si="1"/>
        <v/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ht="15.0" customHeight="1">
      <c r="A108" s="8" t="str">
        <f t="shared" si="1"/>
        <v/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ht="15.0" customHeight="1">
      <c r="A109" s="8" t="str">
        <f t="shared" si="1"/>
        <v/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ht="15.0" customHeight="1">
      <c r="A110" s="8" t="str">
        <f t="shared" si="1"/>
        <v/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ht="15.0" customHeight="1">
      <c r="A111" s="8" t="str">
        <f t="shared" si="1"/>
        <v/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ht="15.0" customHeight="1">
      <c r="A112" s="8" t="str">
        <f t="shared" si="1"/>
        <v/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ht="15.0" customHeight="1">
      <c r="A113" s="8" t="str">
        <f t="shared" si="1"/>
        <v/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ht="15.0" customHeight="1">
      <c r="A114" s="8" t="str">
        <f t="shared" si="1"/>
        <v/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ht="15.0" customHeight="1">
      <c r="A115" s="8" t="str">
        <f t="shared" si="1"/>
        <v/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ht="15.0" customHeight="1">
      <c r="A116" s="8" t="str">
        <f t="shared" si="1"/>
        <v/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ht="15.0" customHeight="1">
      <c r="A117" s="8" t="str">
        <f t="shared" si="1"/>
        <v/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ht="15.0" customHeight="1">
      <c r="A118" s="8" t="str">
        <f t="shared" si="1"/>
        <v/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ht="15.0" customHeight="1">
      <c r="A119" s="8" t="str">
        <f t="shared" si="1"/>
        <v/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ht="15.0" customHeight="1">
      <c r="A120" s="8" t="str">
        <f t="shared" si="1"/>
        <v/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ht="15.0" customHeight="1">
      <c r="A121" s="8" t="str">
        <f t="shared" si="1"/>
        <v/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ht="15.0" customHeight="1">
      <c r="A122" s="8" t="str">
        <f t="shared" si="1"/>
        <v/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ht="15.0" customHeight="1">
      <c r="A123" s="8" t="str">
        <f t="shared" si="1"/>
        <v/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ht="15.0" customHeight="1">
      <c r="A124" s="8" t="str">
        <f t="shared" si="1"/>
        <v/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ht="15.0" customHeight="1">
      <c r="A125" s="8" t="str">
        <f t="shared" si="1"/>
        <v/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ht="15.0" customHeight="1">
      <c r="A126" s="8" t="str">
        <f t="shared" si="1"/>
        <v/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ht="15.0" customHeight="1">
      <c r="A127" s="8" t="str">
        <f t="shared" si="1"/>
        <v/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ht="15.0" customHeight="1">
      <c r="A128" s="8" t="str">
        <f t="shared" si="1"/>
        <v/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ht="15.0" customHeight="1">
      <c r="A129" s="8" t="str">
        <f t="shared" si="1"/>
        <v/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ht="15.0" customHeight="1">
      <c r="A130" s="8" t="str">
        <f t="shared" si="1"/>
        <v/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ht="15.0" customHeight="1">
      <c r="A131" s="8" t="str">
        <f t="shared" si="1"/>
        <v/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ht="15.0" customHeight="1">
      <c r="A132" s="8" t="str">
        <f t="shared" si="1"/>
        <v/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ht="15.0" customHeight="1">
      <c r="A133" s="8" t="str">
        <f t="shared" si="1"/>
        <v/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ht="15.0" customHeight="1">
      <c r="A134" s="8" t="str">
        <f t="shared" si="1"/>
        <v/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ht="15.0" customHeight="1">
      <c r="A135" s="8" t="str">
        <f t="shared" si="1"/>
        <v/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ht="15.0" customHeight="1">
      <c r="A136" s="8" t="str">
        <f t="shared" si="1"/>
        <v/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ht="15.0" customHeight="1">
      <c r="A137" s="8" t="str">
        <f t="shared" si="1"/>
        <v/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ht="15.0" customHeight="1">
      <c r="A138" s="8" t="str">
        <f t="shared" si="1"/>
        <v/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ht="15.0" customHeight="1">
      <c r="A139" s="8" t="str">
        <f t="shared" si="1"/>
        <v/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ht="15.0" customHeight="1">
      <c r="A140" s="8" t="str">
        <f t="shared" si="1"/>
        <v/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ht="15.0" customHeight="1">
      <c r="A141" s="8" t="str">
        <f t="shared" si="1"/>
        <v/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ht="15.0" customHeight="1">
      <c r="A142" s="8" t="str">
        <f t="shared" si="1"/>
        <v/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ht="15.0" customHeight="1">
      <c r="A143" s="8" t="str">
        <f t="shared" si="1"/>
        <v/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ht="15.0" customHeight="1">
      <c r="A144" s="8" t="str">
        <f t="shared" si="1"/>
        <v/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ht="15.0" customHeight="1">
      <c r="A145" s="8" t="str">
        <f t="shared" si="1"/>
        <v/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ht="15.0" customHeight="1">
      <c r="A146" s="8" t="str">
        <f t="shared" si="1"/>
        <v/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ht="15.0" customHeight="1">
      <c r="A147" s="8" t="str">
        <f t="shared" si="1"/>
        <v/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ht="15.0" customHeight="1">
      <c r="A148" s="8" t="str">
        <f t="shared" si="1"/>
        <v/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ht="15.0" customHeight="1">
      <c r="A149" s="8" t="str">
        <f t="shared" si="1"/>
        <v/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ht="15.0" customHeight="1">
      <c r="A150" s="8" t="str">
        <f t="shared" si="1"/>
        <v/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ht="15.0" customHeight="1">
      <c r="A151" s="8" t="str">
        <f t="shared" si="1"/>
        <v/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ht="15.0" customHeight="1">
      <c r="A152" s="8" t="str">
        <f t="shared" si="1"/>
        <v/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ht="15.0" customHeight="1">
      <c r="A153" s="8" t="str">
        <f t="shared" si="1"/>
        <v/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ht="15.0" customHeight="1">
      <c r="A154" s="8" t="str">
        <f t="shared" si="1"/>
        <v/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ht="15.0" customHeight="1">
      <c r="A155" s="8" t="str">
        <f t="shared" si="1"/>
        <v/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ht="15.0" customHeight="1">
      <c r="A156" s="8" t="str">
        <f t="shared" si="1"/>
        <v/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ht="15.0" customHeight="1">
      <c r="A157" s="8" t="str">
        <f t="shared" si="1"/>
        <v/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ht="15.0" customHeight="1">
      <c r="A158" s="8" t="str">
        <f t="shared" si="1"/>
        <v/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ht="15.0" customHeight="1">
      <c r="A159" s="8" t="str">
        <f t="shared" si="1"/>
        <v/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ht="15.0" customHeight="1">
      <c r="A160" s="8" t="str">
        <f t="shared" si="1"/>
        <v/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ht="15.0" customHeight="1">
      <c r="A161" s="8" t="str">
        <f t="shared" si="1"/>
        <v/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ht="15.0" customHeight="1">
      <c r="A162" s="8" t="str">
        <f t="shared" si="1"/>
        <v/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ht="15.0" customHeight="1">
      <c r="A163" s="8" t="str">
        <f t="shared" si="1"/>
        <v/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ht="15.0" customHeight="1">
      <c r="A164" s="8" t="str">
        <f t="shared" si="1"/>
        <v/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ht="15.0" customHeight="1">
      <c r="A165" s="8" t="str">
        <f t="shared" si="1"/>
        <v/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ht="15.0" customHeight="1">
      <c r="A166" s="8" t="str">
        <f t="shared" si="1"/>
        <v/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ht="15.0" customHeight="1">
      <c r="A167" s="8" t="str">
        <f t="shared" si="1"/>
        <v/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ht="15.0" customHeight="1">
      <c r="A168" s="8" t="str">
        <f t="shared" si="1"/>
        <v/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ht="15.0" customHeight="1">
      <c r="A169" s="8" t="str">
        <f t="shared" si="1"/>
        <v/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ht="15.0" customHeight="1">
      <c r="A170" s="8" t="str">
        <f t="shared" si="1"/>
        <v/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ht="15.0" customHeight="1">
      <c r="A171" s="8" t="str">
        <f t="shared" si="1"/>
        <v/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ht="15.0" customHeight="1">
      <c r="A172" s="8" t="str">
        <f t="shared" si="1"/>
        <v/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ht="15.0" customHeight="1">
      <c r="A173" s="8" t="str">
        <f t="shared" si="1"/>
        <v/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ht="15.0" customHeight="1">
      <c r="A174" s="8" t="str">
        <f t="shared" si="1"/>
        <v/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ht="15.0" customHeight="1">
      <c r="A175" s="8" t="str">
        <f t="shared" si="1"/>
        <v/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ht="15.0" customHeight="1">
      <c r="A176" s="8" t="str">
        <f t="shared" si="1"/>
        <v/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ht="15.0" customHeight="1">
      <c r="A177" s="8" t="str">
        <f t="shared" si="1"/>
        <v/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ht="15.0" customHeight="1">
      <c r="A178" s="8" t="str">
        <f t="shared" si="1"/>
        <v/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ht="15.0" customHeight="1">
      <c r="A179" s="8" t="str">
        <f t="shared" si="1"/>
        <v/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ht="15.0" customHeight="1">
      <c r="A180" s="8" t="str">
        <f t="shared" si="1"/>
        <v/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ht="15.0" customHeight="1">
      <c r="A181" s="8" t="str">
        <f t="shared" si="1"/>
        <v/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ht="15.0" customHeight="1">
      <c r="A182" s="8" t="str">
        <f t="shared" si="1"/>
        <v/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ht="15.0" customHeight="1">
      <c r="A183" s="8" t="str">
        <f t="shared" si="1"/>
        <v/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ht="15.0" customHeight="1">
      <c r="A184" s="8" t="str">
        <f t="shared" si="1"/>
        <v/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ht="15.0" customHeight="1">
      <c r="A185" s="8" t="str">
        <f t="shared" si="1"/>
        <v/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ht="15.0" customHeight="1">
      <c r="A186" s="8" t="str">
        <f t="shared" si="1"/>
        <v/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ht="15.0" customHeight="1">
      <c r="A187" s="8" t="str">
        <f t="shared" si="1"/>
        <v/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ht="15.0" customHeight="1">
      <c r="A188" s="8" t="str">
        <f t="shared" si="1"/>
        <v/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ht="15.0" customHeight="1">
      <c r="A189" s="8" t="str">
        <f t="shared" si="1"/>
        <v/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ht="15.0" customHeight="1">
      <c r="A190" s="8" t="str">
        <f t="shared" si="1"/>
        <v/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ht="15.0" customHeight="1">
      <c r="A191" s="8" t="str">
        <f t="shared" si="1"/>
        <v/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ht="15.0" customHeight="1">
      <c r="A192" s="8" t="str">
        <f t="shared" si="1"/>
        <v/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ht="15.0" customHeight="1">
      <c r="A193" s="8" t="str">
        <f t="shared" si="1"/>
        <v/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ht="15.0" customHeight="1">
      <c r="A194" s="8" t="str">
        <f t="shared" si="1"/>
        <v/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ht="15.0" customHeight="1">
      <c r="A195" s="8" t="str">
        <f t="shared" si="1"/>
        <v/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ht="15.0" customHeight="1">
      <c r="A196" s="8" t="str">
        <f t="shared" si="1"/>
        <v/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ht="15.0" customHeight="1">
      <c r="A197" s="8" t="str">
        <f t="shared" si="1"/>
        <v/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ht="15.0" customHeight="1">
      <c r="A198" s="8" t="str">
        <f t="shared" si="1"/>
        <v/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ht="15.0" customHeight="1">
      <c r="A199" s="8" t="str">
        <f t="shared" si="1"/>
        <v/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ht="15.0" customHeight="1">
      <c r="A200" s="8" t="str">
        <f t="shared" si="1"/>
        <v/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ht="15.0" customHeight="1">
      <c r="A201" s="8" t="str">
        <f t="shared" si="1"/>
        <v/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ht="15.0" customHeight="1">
      <c r="A202" s="8" t="str">
        <f t="shared" si="1"/>
        <v/>
      </c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ht="15.0" customHeight="1">
      <c r="A203" s="8" t="str">
        <f t="shared" si="1"/>
        <v/>
      </c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ht="15.0" customHeight="1">
      <c r="A204" s="8" t="str">
        <f t="shared" si="1"/>
        <v/>
      </c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ht="15.0" customHeight="1">
      <c r="A205" s="8" t="str">
        <f t="shared" si="1"/>
        <v/>
      </c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ht="15.0" customHeight="1">
      <c r="A206" s="8" t="str">
        <f t="shared" si="1"/>
        <v/>
      </c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ht="15.0" customHeight="1">
      <c r="A207" s="8" t="str">
        <f t="shared" si="1"/>
        <v/>
      </c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ht="15.0" customHeight="1">
      <c r="A208" s="8" t="str">
        <f t="shared" si="1"/>
        <v/>
      </c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ht="15.0" customHeight="1">
      <c r="A209" s="8" t="str">
        <f t="shared" si="1"/>
        <v/>
      </c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ht="15.0" customHeight="1">
      <c r="A210" s="8" t="str">
        <f t="shared" si="1"/>
        <v/>
      </c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ht="15.0" customHeight="1">
      <c r="A211" s="8" t="str">
        <f t="shared" si="1"/>
        <v/>
      </c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ht="15.0" customHeight="1">
      <c r="A212" s="8" t="str">
        <f t="shared" si="1"/>
        <v/>
      </c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ht="15.0" customHeight="1">
      <c r="A213" s="8" t="str">
        <f t="shared" si="1"/>
        <v/>
      </c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ht="15.0" customHeight="1">
      <c r="A214" s="8" t="str">
        <f t="shared" si="1"/>
        <v/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ht="15.0" customHeight="1">
      <c r="A215" s="8" t="str">
        <f t="shared" si="1"/>
        <v/>
      </c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ht="15.0" customHeight="1">
      <c r="A216" s="8" t="str">
        <f t="shared" si="1"/>
        <v/>
      </c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ht="15.0" customHeight="1">
      <c r="A217" s="8" t="str">
        <f t="shared" si="1"/>
        <v/>
      </c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ht="15.0" customHeight="1">
      <c r="A218" s="8" t="str">
        <f t="shared" si="1"/>
        <v/>
      </c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ht="15.0" customHeight="1">
      <c r="A219" s="8" t="str">
        <f t="shared" si="1"/>
        <v/>
      </c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ht="15.0" customHeight="1">
      <c r="A220" s="8" t="str">
        <f t="shared" si="1"/>
        <v/>
      </c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ht="15.0" customHeight="1">
      <c r="A221" s="8" t="str">
        <f t="shared" si="1"/>
        <v/>
      </c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ht="15.0" customHeight="1">
      <c r="A222" s="8" t="str">
        <f t="shared" si="1"/>
        <v/>
      </c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ht="15.0" customHeight="1">
      <c r="A223" s="8" t="str">
        <f t="shared" si="1"/>
        <v/>
      </c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ht="15.0" customHeight="1">
      <c r="A224" s="8" t="str">
        <f t="shared" si="1"/>
        <v/>
      </c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ht="15.0" customHeight="1">
      <c r="A225" s="8" t="str">
        <f t="shared" si="1"/>
        <v/>
      </c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ht="15.0" customHeight="1">
      <c r="A226" s="8" t="str">
        <f t="shared" si="1"/>
        <v/>
      </c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ht="15.0" customHeight="1">
      <c r="A227" s="8" t="str">
        <f t="shared" si="1"/>
        <v/>
      </c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ht="15.0" customHeight="1">
      <c r="A228" s="8" t="str">
        <f t="shared" si="1"/>
        <v/>
      </c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ht="15.0" customHeight="1">
      <c r="A229" s="8" t="str">
        <f t="shared" si="1"/>
        <v/>
      </c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ht="15.0" customHeight="1">
      <c r="A230" s="8" t="str">
        <f t="shared" si="1"/>
        <v/>
      </c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ht="15.0" customHeight="1">
      <c r="A231" s="8" t="str">
        <f t="shared" si="1"/>
        <v/>
      </c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ht="15.0" customHeight="1">
      <c r="A232" s="8" t="str">
        <f t="shared" si="1"/>
        <v/>
      </c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ht="15.0" customHeight="1">
      <c r="A233" s="8" t="str">
        <f t="shared" si="1"/>
        <v/>
      </c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ht="15.0" customHeight="1">
      <c r="A234" s="8" t="str">
        <f t="shared" si="1"/>
        <v/>
      </c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ht="15.0" customHeight="1">
      <c r="A235" s="8" t="str">
        <f t="shared" si="1"/>
        <v/>
      </c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ht="15.0" customHeight="1">
      <c r="A236" s="8" t="str">
        <f t="shared" si="1"/>
        <v/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ht="15.0" customHeight="1">
      <c r="A237" s="8" t="str">
        <f t="shared" si="1"/>
        <v/>
      </c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ht="15.0" customHeight="1">
      <c r="A238" s="8" t="str">
        <f t="shared" si="1"/>
        <v/>
      </c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ht="15.0" customHeight="1">
      <c r="A239" s="8" t="str">
        <f t="shared" si="1"/>
        <v/>
      </c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ht="15.0" customHeight="1">
      <c r="A240" s="8" t="str">
        <f t="shared" si="1"/>
        <v/>
      </c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ht="15.0" customHeight="1">
      <c r="A241" s="8" t="str">
        <f t="shared" si="1"/>
        <v/>
      </c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ht="15.0" customHeight="1">
      <c r="A242" s="8" t="str">
        <f t="shared" si="1"/>
        <v/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ht="15.0" customHeight="1">
      <c r="A243" s="8" t="str">
        <f t="shared" si="1"/>
        <v/>
      </c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ht="15.0" customHeight="1">
      <c r="A244" s="8" t="str">
        <f t="shared" si="1"/>
        <v/>
      </c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ht="15.0" customHeight="1">
      <c r="A245" s="8" t="str">
        <f t="shared" si="1"/>
        <v/>
      </c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ht="15.0" customHeight="1">
      <c r="A246" s="8" t="str">
        <f t="shared" si="1"/>
        <v/>
      </c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ht="15.0" customHeight="1">
      <c r="A247" s="8" t="str">
        <f t="shared" si="1"/>
        <v/>
      </c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ht="15.0" customHeight="1">
      <c r="A248" s="8" t="str">
        <f t="shared" si="1"/>
        <v/>
      </c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ht="15.0" customHeight="1">
      <c r="A249" s="8" t="str">
        <f t="shared" si="1"/>
        <v/>
      </c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ht="15.0" customHeight="1">
      <c r="A250" s="8" t="str">
        <f t="shared" si="1"/>
        <v/>
      </c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ht="15.0" customHeight="1">
      <c r="A251" s="8" t="str">
        <f t="shared" si="1"/>
        <v/>
      </c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ht="15.0" customHeight="1">
      <c r="A252" s="8" t="str">
        <f t="shared" si="1"/>
        <v/>
      </c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ht="15.0" customHeight="1">
      <c r="A253" s="8" t="str">
        <f t="shared" si="1"/>
        <v/>
      </c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ht="15.0" customHeight="1">
      <c r="A254" s="8" t="str">
        <f t="shared" si="1"/>
        <v/>
      </c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ht="15.0" customHeight="1">
      <c r="A255" s="8" t="str">
        <f t="shared" si="1"/>
        <v/>
      </c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ht="15.0" customHeight="1">
      <c r="A256" s="8" t="str">
        <f t="shared" si="1"/>
        <v/>
      </c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ht="15.0" customHeight="1">
      <c r="A257" s="8" t="str">
        <f t="shared" si="1"/>
        <v/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ht="15.0" customHeight="1">
      <c r="A258" s="8" t="str">
        <f t="shared" si="1"/>
        <v/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ht="15.0" customHeight="1">
      <c r="A259" s="8" t="str">
        <f t="shared" si="1"/>
        <v/>
      </c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ht="15.0" customHeight="1">
      <c r="A260" s="8" t="str">
        <f t="shared" si="1"/>
        <v/>
      </c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ht="15.0" customHeight="1">
      <c r="A261" s="8" t="str">
        <f t="shared" si="1"/>
        <v/>
      </c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ht="15.0" customHeight="1">
      <c r="A262" s="8" t="str">
        <f t="shared" si="1"/>
        <v/>
      </c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ht="15.0" customHeight="1">
      <c r="A263" s="8" t="str">
        <f t="shared" si="1"/>
        <v/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ht="15.0" customHeight="1">
      <c r="A264" s="8" t="str">
        <f t="shared" si="1"/>
        <v/>
      </c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ht="15.0" customHeight="1">
      <c r="A265" s="8" t="str">
        <f t="shared" si="1"/>
        <v/>
      </c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ht="15.0" customHeight="1">
      <c r="A266" s="8" t="str">
        <f t="shared" si="1"/>
        <v/>
      </c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ht="15.0" customHeight="1">
      <c r="A267" s="8" t="str">
        <f t="shared" si="1"/>
        <v/>
      </c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ht="15.0" customHeight="1">
      <c r="A268" s="8" t="str">
        <f t="shared" si="1"/>
        <v/>
      </c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ht="15.0" customHeight="1">
      <c r="A269" s="8" t="str">
        <f t="shared" si="1"/>
        <v/>
      </c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ht="15.0" customHeight="1">
      <c r="A270" s="8" t="str">
        <f t="shared" si="1"/>
        <v/>
      </c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ht="15.0" customHeight="1">
      <c r="A271" s="8" t="str">
        <f t="shared" si="1"/>
        <v/>
      </c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ht="15.0" customHeight="1">
      <c r="A272" s="8" t="str">
        <f t="shared" si="1"/>
        <v/>
      </c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ht="15.0" customHeight="1">
      <c r="A273" s="8" t="str">
        <f t="shared" si="1"/>
        <v/>
      </c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ht="15.0" customHeight="1">
      <c r="A274" s="8" t="str">
        <f t="shared" si="1"/>
        <v/>
      </c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ht="15.0" customHeight="1">
      <c r="A275" s="8" t="str">
        <f t="shared" si="1"/>
        <v/>
      </c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ht="15.0" customHeight="1">
      <c r="A276" s="8" t="str">
        <f t="shared" si="1"/>
        <v/>
      </c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ht="15.0" customHeight="1">
      <c r="A277" s="8" t="str">
        <f t="shared" si="1"/>
        <v/>
      </c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ht="15.0" customHeight="1">
      <c r="A278" s="8" t="str">
        <f t="shared" si="1"/>
        <v/>
      </c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ht="15.0" customHeight="1">
      <c r="A279" s="8" t="str">
        <f t="shared" si="1"/>
        <v/>
      </c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ht="15.0" customHeight="1">
      <c r="A280" s="8" t="str">
        <f t="shared" si="1"/>
        <v/>
      </c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ht="15.0" customHeight="1">
      <c r="A281" s="8" t="str">
        <f t="shared" si="1"/>
        <v/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ht="15.0" customHeight="1">
      <c r="A282" s="8" t="str">
        <f t="shared" si="1"/>
        <v/>
      </c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ht="15.0" customHeight="1">
      <c r="A283" s="8" t="str">
        <f t="shared" si="1"/>
        <v/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ht="15.0" customHeight="1">
      <c r="A284" s="8" t="str">
        <f t="shared" si="1"/>
        <v/>
      </c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ht="15.0" customHeight="1">
      <c r="A285" s="8" t="str">
        <f t="shared" si="1"/>
        <v/>
      </c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ht="15.0" customHeight="1">
      <c r="A286" s="8" t="str">
        <f t="shared" si="1"/>
        <v/>
      </c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ht="15.0" customHeight="1">
      <c r="A287" s="8" t="str">
        <f t="shared" si="1"/>
        <v/>
      </c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ht="15.0" customHeight="1">
      <c r="A288" s="8" t="str">
        <f t="shared" si="1"/>
        <v/>
      </c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ht="15.0" customHeight="1">
      <c r="A289" s="8" t="str">
        <f t="shared" si="1"/>
        <v/>
      </c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ht="15.0" customHeight="1">
      <c r="A290" s="8" t="str">
        <f t="shared" si="1"/>
        <v/>
      </c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ht="15.0" customHeight="1">
      <c r="A291" s="8" t="str">
        <f t="shared" si="1"/>
        <v/>
      </c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ht="15.0" customHeight="1">
      <c r="A292" s="8" t="str">
        <f t="shared" si="1"/>
        <v/>
      </c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ht="15.0" customHeight="1">
      <c r="A293" s="8" t="str">
        <f t="shared" si="1"/>
        <v/>
      </c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ht="15.0" customHeight="1">
      <c r="A294" s="8" t="str">
        <f t="shared" si="1"/>
        <v/>
      </c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ht="15.0" customHeight="1">
      <c r="A295" s="8" t="str">
        <f t="shared" si="1"/>
        <v/>
      </c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ht="15.0" customHeight="1">
      <c r="A296" s="8" t="str">
        <f t="shared" si="1"/>
        <v/>
      </c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ht="15.0" customHeight="1">
      <c r="A297" s="8" t="str">
        <f t="shared" si="1"/>
        <v/>
      </c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ht="15.0" customHeight="1">
      <c r="A298" s="8" t="str">
        <f t="shared" si="1"/>
        <v/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ht="15.0" customHeight="1">
      <c r="A299" s="8" t="str">
        <f t="shared" si="1"/>
        <v/>
      </c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ht="15.0" customHeight="1">
      <c r="A300" s="8" t="str">
        <f t="shared" si="1"/>
        <v/>
      </c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ht="15.0" customHeight="1">
      <c r="A301" s="8" t="str">
        <f t="shared" si="1"/>
        <v/>
      </c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ht="15.0" customHeight="1">
      <c r="A302" s="8" t="str">
        <f t="shared" si="1"/>
        <v/>
      </c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ht="15.0" customHeight="1">
      <c r="A303" s="8" t="str">
        <f t="shared" si="1"/>
        <v/>
      </c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ht="15.0" customHeight="1">
      <c r="A304" s="8" t="str">
        <f t="shared" si="1"/>
        <v/>
      </c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ht="15.0" customHeight="1">
      <c r="A305" s="8" t="str">
        <f t="shared" si="1"/>
        <v/>
      </c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ht="15.0" customHeight="1">
      <c r="A306" s="8" t="str">
        <f t="shared" si="1"/>
        <v/>
      </c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ht="15.0" customHeight="1">
      <c r="A307" s="8" t="str">
        <f t="shared" si="1"/>
        <v/>
      </c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ht="15.0" customHeight="1">
      <c r="A308" s="8" t="str">
        <f t="shared" si="1"/>
        <v/>
      </c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ht="15.0" customHeight="1">
      <c r="A309" s="8" t="str">
        <f t="shared" si="1"/>
        <v/>
      </c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ht="15.0" customHeight="1">
      <c r="A310" s="8" t="str">
        <f t="shared" si="1"/>
        <v/>
      </c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ht="15.0" customHeight="1">
      <c r="A311" s="8" t="str">
        <f t="shared" si="1"/>
        <v/>
      </c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ht="15.0" customHeight="1">
      <c r="A312" s="8" t="str">
        <f t="shared" si="1"/>
        <v/>
      </c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ht="15.0" customHeight="1">
      <c r="A313" s="8" t="str">
        <f t="shared" si="1"/>
        <v/>
      </c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ht="15.0" customHeight="1">
      <c r="A314" s="8" t="str">
        <f t="shared" si="1"/>
        <v/>
      </c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ht="15.0" customHeight="1">
      <c r="A315" s="8" t="str">
        <f t="shared" si="1"/>
        <v/>
      </c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ht="15.0" customHeight="1">
      <c r="A316" s="8" t="str">
        <f t="shared" si="1"/>
        <v/>
      </c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ht="15.0" customHeight="1">
      <c r="A317" s="8" t="str">
        <f t="shared" si="1"/>
        <v/>
      </c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ht="15.0" customHeight="1">
      <c r="A318" s="8" t="str">
        <f t="shared" si="1"/>
        <v/>
      </c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ht="15.0" customHeight="1">
      <c r="A319" s="8" t="str">
        <f t="shared" si="1"/>
        <v/>
      </c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ht="15.0" customHeight="1">
      <c r="A320" s="8" t="str">
        <f t="shared" si="1"/>
        <v/>
      </c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ht="15.0" customHeight="1">
      <c r="A321" s="8" t="str">
        <f t="shared" si="1"/>
        <v/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ht="15.0" customHeight="1">
      <c r="A322" s="8" t="str">
        <f t="shared" si="1"/>
        <v/>
      </c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ht="15.0" customHeight="1">
      <c r="A323" s="8" t="str">
        <f t="shared" si="1"/>
        <v/>
      </c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ht="15.0" customHeight="1">
      <c r="A324" s="8" t="str">
        <f t="shared" si="1"/>
        <v/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ht="15.0" customHeight="1">
      <c r="A325" s="8" t="str">
        <f t="shared" si="1"/>
        <v/>
      </c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ht="15.0" customHeight="1">
      <c r="A326" s="8" t="str">
        <f t="shared" si="1"/>
        <v/>
      </c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ht="15.0" customHeight="1">
      <c r="A327" s="8" t="str">
        <f t="shared" si="1"/>
        <v/>
      </c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ht="15.0" customHeight="1">
      <c r="A328" s="8" t="str">
        <f t="shared" si="1"/>
        <v/>
      </c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ht="15.0" customHeight="1">
      <c r="A329" s="8" t="str">
        <f t="shared" si="1"/>
        <v/>
      </c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ht="15.0" customHeight="1">
      <c r="A330" s="8" t="str">
        <f t="shared" si="1"/>
        <v/>
      </c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ht="15.0" customHeight="1">
      <c r="A331" s="8" t="str">
        <f t="shared" si="1"/>
        <v/>
      </c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ht="15.0" customHeight="1">
      <c r="A332" s="8" t="str">
        <f t="shared" si="1"/>
        <v/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ht="15.0" customHeight="1">
      <c r="A333" s="8" t="str">
        <f t="shared" si="1"/>
        <v/>
      </c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ht="15.0" customHeight="1">
      <c r="A334" s="8" t="str">
        <f t="shared" si="1"/>
        <v/>
      </c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ht="15.0" customHeight="1">
      <c r="A335" s="8" t="str">
        <f t="shared" si="1"/>
        <v/>
      </c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ht="15.0" customHeight="1">
      <c r="A336" s="8" t="str">
        <f t="shared" si="1"/>
        <v/>
      </c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ht="15.0" customHeight="1">
      <c r="A337" s="8" t="str">
        <f t="shared" si="1"/>
        <v/>
      </c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ht="15.0" customHeight="1">
      <c r="A338" s="8" t="str">
        <f t="shared" si="1"/>
        <v/>
      </c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ht="15.0" customHeight="1">
      <c r="A339" s="8" t="str">
        <f t="shared" si="1"/>
        <v/>
      </c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ht="15.0" customHeight="1">
      <c r="A340" s="8" t="str">
        <f t="shared" si="1"/>
        <v/>
      </c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ht="15.0" customHeight="1">
      <c r="A341" s="8" t="str">
        <f t="shared" si="1"/>
        <v/>
      </c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ht="15.0" customHeight="1">
      <c r="A342" s="8" t="str">
        <f t="shared" si="1"/>
        <v/>
      </c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ht="15.0" customHeight="1">
      <c r="A343" s="8" t="str">
        <f t="shared" si="1"/>
        <v/>
      </c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ht="15.0" customHeight="1">
      <c r="A344" s="8" t="str">
        <f t="shared" si="1"/>
        <v/>
      </c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ht="15.0" customHeight="1">
      <c r="A345" s="8" t="str">
        <f t="shared" si="1"/>
        <v/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ht="15.0" customHeight="1">
      <c r="A346" s="8" t="str">
        <f t="shared" si="1"/>
        <v/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ht="15.0" customHeight="1">
      <c r="A347" s="8" t="str">
        <f t="shared" si="1"/>
        <v/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ht="15.0" customHeight="1">
      <c r="A348" s="8" t="str">
        <f t="shared" si="1"/>
        <v/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ht="15.0" customHeight="1">
      <c r="A349" s="8" t="str">
        <f t="shared" si="1"/>
        <v/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ht="15.0" customHeight="1">
      <c r="A350" s="8" t="str">
        <f t="shared" si="1"/>
        <v/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ht="15.0" customHeight="1">
      <c r="A351" s="8" t="str">
        <f t="shared" si="1"/>
        <v/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ht="15.0" customHeight="1">
      <c r="A352" s="8" t="str">
        <f t="shared" si="1"/>
        <v/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ht="15.0" customHeight="1">
      <c r="A353" s="8" t="str">
        <f t="shared" si="1"/>
        <v/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ht="15.0" customHeight="1">
      <c r="A354" s="8" t="str">
        <f t="shared" si="1"/>
        <v/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ht="15.0" customHeight="1">
      <c r="A355" s="8" t="str">
        <f t="shared" si="1"/>
        <v/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ht="15.0" customHeight="1">
      <c r="A356" s="8" t="str">
        <f t="shared" si="1"/>
        <v/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ht="15.0" customHeight="1">
      <c r="A357" s="8" t="str">
        <f t="shared" si="1"/>
        <v/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ht="15.0" customHeight="1">
      <c r="A358" s="8" t="str">
        <f t="shared" si="1"/>
        <v/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ht="15.0" customHeight="1">
      <c r="A359" s="8" t="str">
        <f t="shared" si="1"/>
        <v/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ht="15.0" customHeight="1">
      <c r="A360" s="8" t="str">
        <f t="shared" si="1"/>
        <v/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ht="15.0" customHeight="1">
      <c r="A361" s="8" t="str">
        <f t="shared" si="1"/>
        <v/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ht="15.0" customHeight="1">
      <c r="A362" s="8" t="str">
        <f t="shared" si="1"/>
        <v/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ht="15.0" customHeight="1">
      <c r="A363" s="8" t="str">
        <f t="shared" si="1"/>
        <v/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ht="15.0" customHeight="1">
      <c r="A364" s="8" t="str">
        <f t="shared" si="1"/>
        <v/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ht="15.0" customHeight="1">
      <c r="A365" s="8" t="str">
        <f t="shared" si="1"/>
        <v/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ht="15.0" customHeight="1">
      <c r="A366" s="8" t="str">
        <f t="shared" si="1"/>
        <v/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ht="15.0" customHeight="1">
      <c r="A367" s="8" t="str">
        <f t="shared" si="1"/>
        <v/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ht="15.0" customHeight="1">
      <c r="A368" s="8" t="str">
        <f t="shared" si="1"/>
        <v/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ht="15.0" customHeight="1">
      <c r="A369" s="8" t="str">
        <f t="shared" si="1"/>
        <v/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ht="15.0" customHeight="1">
      <c r="A370" s="8" t="str">
        <f t="shared" si="1"/>
        <v/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ht="15.0" customHeight="1">
      <c r="A371" s="8" t="str">
        <f t="shared" si="1"/>
        <v/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ht="15.0" customHeight="1">
      <c r="A372" s="8" t="str">
        <f t="shared" si="1"/>
        <v/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ht="15.0" customHeight="1">
      <c r="A373" s="8" t="str">
        <f t="shared" si="1"/>
        <v/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ht="15.0" customHeight="1">
      <c r="A374" s="8" t="str">
        <f t="shared" si="1"/>
        <v/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ht="15.0" customHeight="1">
      <c r="A375" s="8" t="str">
        <f t="shared" si="1"/>
        <v/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ht="15.0" customHeight="1">
      <c r="A376" s="8" t="str">
        <f t="shared" si="1"/>
        <v/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ht="15.0" customHeight="1">
      <c r="A377" s="8" t="str">
        <f t="shared" si="1"/>
        <v/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ht="15.0" customHeight="1">
      <c r="A378" s="8" t="str">
        <f t="shared" si="1"/>
        <v/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ht="15.0" customHeight="1">
      <c r="A379" s="8" t="str">
        <f t="shared" si="1"/>
        <v/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ht="15.0" customHeight="1">
      <c r="A380" s="8" t="str">
        <f t="shared" si="1"/>
        <v/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ht="15.0" customHeight="1">
      <c r="A381" s="8" t="str">
        <f t="shared" si="1"/>
        <v/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ht="15.0" customHeight="1">
      <c r="A382" s="8" t="str">
        <f t="shared" si="1"/>
        <v/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ht="15.0" customHeight="1">
      <c r="A383" s="8" t="str">
        <f t="shared" si="1"/>
        <v/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ht="15.0" customHeight="1">
      <c r="A384" s="8" t="str">
        <f t="shared" si="1"/>
        <v/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ht="15.0" customHeight="1">
      <c r="A385" s="8" t="str">
        <f t="shared" si="1"/>
        <v/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ht="15.0" customHeight="1">
      <c r="A386" s="8" t="str">
        <f t="shared" si="1"/>
        <v/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ht="15.0" customHeight="1">
      <c r="A387" s="8" t="str">
        <f t="shared" si="1"/>
        <v/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ht="15.0" customHeight="1">
      <c r="A388" s="8" t="str">
        <f t="shared" si="1"/>
        <v/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ht="15.0" customHeight="1">
      <c r="A389" s="8" t="str">
        <f t="shared" si="1"/>
        <v/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ht="15.0" customHeight="1">
      <c r="A390" s="8" t="str">
        <f t="shared" si="1"/>
        <v/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ht="15.0" customHeight="1">
      <c r="A391" s="8" t="str">
        <f t="shared" si="1"/>
        <v/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ht="15.0" customHeight="1">
      <c r="A392" s="8" t="str">
        <f t="shared" si="1"/>
        <v/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ht="15.0" customHeight="1">
      <c r="A393" s="8" t="str">
        <f t="shared" si="1"/>
        <v/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ht="15.0" customHeight="1">
      <c r="A394" s="8" t="str">
        <f t="shared" si="1"/>
        <v/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ht="15.0" customHeight="1">
      <c r="A395" s="8" t="str">
        <f t="shared" si="1"/>
        <v/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ht="15.0" customHeight="1">
      <c r="A396" s="8" t="str">
        <f t="shared" si="1"/>
        <v/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ht="15.0" customHeight="1">
      <c r="A397" s="8" t="str">
        <f t="shared" si="1"/>
        <v/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ht="15.0" customHeight="1">
      <c r="A398" s="8" t="str">
        <f t="shared" si="1"/>
        <v/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ht="15.0" customHeight="1">
      <c r="A399" s="8" t="str">
        <f t="shared" si="1"/>
        <v/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ht="15.0" customHeight="1">
      <c r="A400" s="8" t="str">
        <f t="shared" si="1"/>
        <v/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ht="15.0" customHeight="1">
      <c r="A401" s="8" t="str">
        <f t="shared" si="1"/>
        <v/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ht="15.0" customHeight="1">
      <c r="A402" s="8" t="str">
        <f t="shared" si="1"/>
        <v/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ht="15.0" customHeight="1">
      <c r="A403" s="8" t="str">
        <f t="shared" si="1"/>
        <v/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ht="15.0" customHeight="1">
      <c r="A404" s="8" t="str">
        <f t="shared" si="1"/>
        <v/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ht="15.0" customHeight="1">
      <c r="A405" s="8" t="str">
        <f t="shared" si="1"/>
        <v/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ht="15.0" customHeight="1">
      <c r="A406" s="8" t="str">
        <f t="shared" si="1"/>
        <v/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ht="15.0" customHeight="1">
      <c r="A407" s="8" t="str">
        <f t="shared" si="1"/>
        <v/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ht="15.0" customHeight="1">
      <c r="A408" s="8" t="str">
        <f t="shared" si="1"/>
        <v/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ht="15.0" customHeight="1">
      <c r="A409" s="8" t="str">
        <f t="shared" si="1"/>
        <v/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ht="15.0" customHeight="1">
      <c r="A410" s="8" t="str">
        <f t="shared" si="1"/>
        <v/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ht="15.0" customHeight="1">
      <c r="A411" s="8" t="str">
        <f t="shared" si="1"/>
        <v/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ht="15.0" customHeight="1">
      <c r="A412" s="8" t="str">
        <f t="shared" si="1"/>
        <v/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ht="15.0" customHeight="1">
      <c r="A413" s="8" t="str">
        <f t="shared" si="1"/>
        <v/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ht="15.0" customHeight="1">
      <c r="A414" s="8" t="str">
        <f t="shared" si="1"/>
        <v/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ht="15.0" customHeight="1">
      <c r="A415" s="8" t="str">
        <f t="shared" si="1"/>
        <v/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ht="15.0" customHeight="1">
      <c r="A416" s="8" t="str">
        <f t="shared" si="1"/>
        <v/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ht="15.0" customHeight="1">
      <c r="A417" s="8" t="str">
        <f t="shared" si="1"/>
        <v/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ht="15.0" customHeight="1">
      <c r="A418" s="8" t="str">
        <f t="shared" si="1"/>
        <v/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ht="15.0" customHeight="1">
      <c r="A419" s="8" t="str">
        <f t="shared" si="1"/>
        <v/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ht="15.0" customHeight="1">
      <c r="A420" s="8" t="str">
        <f t="shared" si="1"/>
        <v/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ht="15.0" customHeight="1">
      <c r="A421" s="8" t="str">
        <f t="shared" si="1"/>
        <v/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ht="15.0" customHeight="1">
      <c r="A422" s="8" t="str">
        <f t="shared" si="1"/>
        <v/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ht="15.0" customHeight="1">
      <c r="A423" s="8" t="str">
        <f t="shared" si="1"/>
        <v/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ht="15.0" customHeight="1">
      <c r="A424" s="8" t="str">
        <f t="shared" si="1"/>
        <v/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ht="15.0" customHeight="1">
      <c r="A425" s="8" t="str">
        <f t="shared" si="1"/>
        <v/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ht="15.0" customHeight="1">
      <c r="A426" s="8" t="str">
        <f t="shared" si="1"/>
        <v/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ht="15.0" customHeight="1">
      <c r="A427" s="8" t="str">
        <f t="shared" si="1"/>
        <v/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ht="15.0" customHeight="1">
      <c r="A428" s="8" t="str">
        <f t="shared" si="1"/>
        <v/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ht="15.0" customHeight="1">
      <c r="A429" s="8" t="str">
        <f t="shared" si="1"/>
        <v/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ht="15.0" customHeight="1">
      <c r="A430" s="8" t="str">
        <f t="shared" si="1"/>
        <v/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ht="15.0" customHeight="1">
      <c r="A431" s="8" t="str">
        <f t="shared" si="1"/>
        <v/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ht="15.0" customHeight="1">
      <c r="A432" s="8" t="str">
        <f t="shared" si="1"/>
        <v/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ht="15.0" customHeight="1">
      <c r="A433" s="8" t="str">
        <f t="shared" si="1"/>
        <v/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ht="15.0" customHeight="1">
      <c r="A434" s="8" t="str">
        <f t="shared" si="1"/>
        <v/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ht="15.0" customHeight="1">
      <c r="A435" s="8" t="str">
        <f t="shared" si="1"/>
        <v/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ht="15.0" customHeight="1">
      <c r="A436" s="8" t="str">
        <f t="shared" si="1"/>
        <v/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ht="15.0" customHeight="1">
      <c r="A437" s="8" t="str">
        <f t="shared" si="1"/>
        <v/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ht="15.0" customHeight="1">
      <c r="A438" s="8" t="str">
        <f t="shared" si="1"/>
        <v/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ht="15.0" customHeight="1">
      <c r="A439" s="8" t="str">
        <f t="shared" si="1"/>
        <v/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ht="15.0" customHeight="1">
      <c r="A440" s="8" t="str">
        <f t="shared" si="1"/>
        <v/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ht="15.0" customHeight="1">
      <c r="A441" s="8" t="str">
        <f t="shared" si="1"/>
        <v/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ht="15.0" customHeight="1">
      <c r="A442" s="8" t="str">
        <f t="shared" si="1"/>
        <v/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ht="15.0" customHeight="1">
      <c r="A443" s="8" t="str">
        <f t="shared" si="1"/>
        <v/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ht="15.0" customHeight="1">
      <c r="A444" s="8" t="str">
        <f t="shared" si="1"/>
        <v/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ht="15.0" customHeight="1">
      <c r="A445" s="8" t="str">
        <f t="shared" si="1"/>
        <v/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ht="15.0" customHeight="1">
      <c r="A446" s="8" t="str">
        <f t="shared" si="1"/>
        <v/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ht="15.0" customHeight="1">
      <c r="A447" s="8" t="str">
        <f t="shared" si="1"/>
        <v/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ht="15.0" customHeight="1">
      <c r="A448" s="8" t="str">
        <f t="shared" si="1"/>
        <v/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ht="15.0" customHeight="1">
      <c r="A449" s="8" t="str">
        <f t="shared" si="1"/>
        <v/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ht="15.0" customHeight="1">
      <c r="A450" s="8" t="str">
        <f t="shared" si="1"/>
        <v/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ht="15.0" customHeight="1">
      <c r="A451" s="8" t="str">
        <f t="shared" si="1"/>
        <v/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ht="15.0" customHeight="1">
      <c r="A452" s="8" t="str">
        <f t="shared" si="1"/>
        <v/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ht="15.0" customHeight="1">
      <c r="A453" s="8" t="str">
        <f t="shared" si="1"/>
        <v/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ht="15.0" customHeight="1">
      <c r="A454" s="8" t="str">
        <f t="shared" si="1"/>
        <v/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ht="15.0" customHeight="1">
      <c r="A455" s="8" t="str">
        <f t="shared" si="1"/>
        <v/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ht="15.0" customHeight="1">
      <c r="A456" s="8" t="str">
        <f t="shared" si="1"/>
        <v/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ht="15.0" customHeight="1">
      <c r="A457" s="8" t="str">
        <f t="shared" si="1"/>
        <v/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ht="15.0" customHeight="1">
      <c r="A458" s="8" t="str">
        <f t="shared" si="1"/>
        <v/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ht="15.0" customHeight="1">
      <c r="A459" s="8" t="str">
        <f t="shared" si="1"/>
        <v/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ht="15.0" customHeight="1">
      <c r="A460" s="8" t="str">
        <f t="shared" si="1"/>
        <v/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ht="15.0" customHeight="1">
      <c r="A461" s="8" t="str">
        <f t="shared" si="1"/>
        <v/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ht="15.0" customHeight="1">
      <c r="A462" s="8" t="str">
        <f t="shared" si="1"/>
        <v/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ht="15.0" customHeight="1">
      <c r="A463" s="8" t="str">
        <f t="shared" si="1"/>
        <v/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ht="15.0" customHeight="1">
      <c r="A464" s="8" t="str">
        <f t="shared" si="1"/>
        <v/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ht="15.0" customHeight="1">
      <c r="A465" s="8" t="str">
        <f t="shared" si="1"/>
        <v/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ht="15.0" customHeight="1">
      <c r="A466" s="8" t="str">
        <f t="shared" si="1"/>
        <v/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ht="15.0" customHeight="1">
      <c r="A467" s="8" t="str">
        <f t="shared" si="1"/>
        <v/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ht="15.0" customHeight="1">
      <c r="A468" s="8" t="str">
        <f t="shared" si="1"/>
        <v/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ht="15.0" customHeight="1">
      <c r="A469" s="8" t="str">
        <f t="shared" si="1"/>
        <v/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ht="15.0" customHeight="1">
      <c r="A470" s="8" t="str">
        <f t="shared" si="1"/>
        <v/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ht="15.0" customHeight="1">
      <c r="A471" s="8" t="str">
        <f t="shared" si="1"/>
        <v/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ht="15.0" customHeight="1">
      <c r="A472" s="8" t="str">
        <f t="shared" si="1"/>
        <v/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ht="15.0" customHeight="1">
      <c r="A473" s="8" t="str">
        <f t="shared" si="1"/>
        <v/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ht="15.0" customHeight="1">
      <c r="A474" s="8" t="str">
        <f t="shared" si="1"/>
        <v/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ht="15.0" customHeight="1">
      <c r="A475" s="8" t="str">
        <f t="shared" si="1"/>
        <v/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ht="15.0" customHeight="1">
      <c r="A476" s="8" t="str">
        <f t="shared" si="1"/>
        <v/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ht="15.0" customHeight="1">
      <c r="A477" s="8" t="str">
        <f t="shared" si="1"/>
        <v/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ht="15.0" customHeight="1">
      <c r="A478" s="8" t="str">
        <f t="shared" si="1"/>
        <v/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ht="15.0" customHeight="1">
      <c r="A479" s="8" t="str">
        <f t="shared" si="1"/>
        <v/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ht="15.0" customHeight="1">
      <c r="A480" s="8" t="str">
        <f t="shared" si="1"/>
        <v/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ht="15.0" customHeight="1">
      <c r="A481" s="8" t="str">
        <f t="shared" si="1"/>
        <v/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ht="15.0" customHeight="1">
      <c r="A482" s="8" t="str">
        <f t="shared" si="1"/>
        <v/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ht="15.0" customHeight="1">
      <c r="A483" s="8" t="str">
        <f t="shared" si="1"/>
        <v/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ht="15.0" customHeight="1">
      <c r="A484" s="8" t="str">
        <f t="shared" si="1"/>
        <v/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ht="15.0" customHeight="1">
      <c r="A485" s="8" t="str">
        <f t="shared" si="1"/>
        <v/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ht="15.0" customHeight="1">
      <c r="A486" s="8" t="str">
        <f t="shared" si="1"/>
        <v/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ht="15.0" customHeight="1">
      <c r="A487" s="8" t="str">
        <f t="shared" si="1"/>
        <v/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ht="15.0" customHeight="1">
      <c r="A488" s="8" t="str">
        <f t="shared" si="1"/>
        <v/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ht="15.0" customHeight="1">
      <c r="A489" s="8" t="str">
        <f t="shared" si="1"/>
        <v/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ht="15.0" customHeight="1">
      <c r="A490" s="8" t="str">
        <f t="shared" si="1"/>
        <v/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ht="15.0" customHeight="1">
      <c r="A491" s="8" t="str">
        <f t="shared" si="1"/>
        <v/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ht="15.0" customHeight="1">
      <c r="A492" s="8" t="str">
        <f t="shared" si="1"/>
        <v/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ht="15.0" customHeight="1">
      <c r="A493" s="8" t="str">
        <f t="shared" si="1"/>
        <v/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ht="15.0" customHeight="1">
      <c r="A494" s="8" t="str">
        <f t="shared" si="1"/>
        <v/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ht="15.0" customHeight="1">
      <c r="A495" s="8" t="str">
        <f t="shared" si="1"/>
        <v/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ht="15.0" customHeight="1">
      <c r="A496" s="8" t="str">
        <f t="shared" si="1"/>
        <v/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ht="15.0" customHeight="1">
      <c r="A497" s="8" t="str">
        <f t="shared" si="1"/>
        <v/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ht="15.0" customHeight="1">
      <c r="A498" s="8" t="str">
        <f t="shared" si="1"/>
        <v/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ht="15.0" customHeight="1">
      <c r="A499" s="8" t="str">
        <f t="shared" si="1"/>
        <v/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ht="15.0" customHeight="1">
      <c r="A500" s="8" t="str">
        <f t="shared" si="1"/>
        <v/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ht="15.0" customHeight="1">
      <c r="A501" s="8" t="str">
        <f t="shared" si="1"/>
        <v/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autoFilter ref="$A$1:$V$500"/>
  <conditionalFormatting sqref="A3:V501">
    <cfRule type="expression" dxfId="0" priority="1">
      <formula>$P3="Cerrado GANADO"</formula>
    </cfRule>
  </conditionalFormatting>
  <conditionalFormatting sqref="A3:V501">
    <cfRule type="expression" dxfId="2" priority="2">
      <formula>OR($P3="Propuesta enviada",$P3="Negociación",$P3="Reunión agendada")</formula>
    </cfRule>
  </conditionalFormatting>
  <conditionalFormatting sqref="A3:V501">
    <cfRule type="expression" dxfId="4" priority="3">
      <formula>OR($P3="Por contactar",$P3="Contactado",$P3="En conversación")</formula>
    </cfRule>
  </conditionalFormatting>
  <conditionalFormatting sqref="A3:V501">
    <cfRule type="expression" dxfId="3" priority="4">
      <formula>$P3="Cerrado PERDIDO"</formula>
    </cfRule>
  </conditionalFormatting>
  <conditionalFormatting sqref="A3:V501">
    <cfRule type="expression" dxfId="3" priority="5">
      <formula>$P3="Dormido"</formula>
    </cfRule>
  </conditionalFormatting>
  <dataValidations>
    <dataValidation type="list" allowBlank="1" sqref="L3:L501">
      <formula1>CATALOGOS!$E$2:$E$4</formula1>
    </dataValidation>
    <dataValidation type="list" allowBlank="1" sqref="C3:C501">
      <formula1>CATALOGOS!$B$2:$B$11</formula1>
    </dataValidation>
    <dataValidation type="list" allowBlank="1" sqref="K3:K501">
      <formula1>CATALOGOS!$D$2:$D$4</formula1>
    </dataValidation>
    <dataValidation type="list" allowBlank="1" sqref="D3:D501">
      <formula1>CATALOGOS!$A$2:$A$12</formula1>
    </dataValidation>
    <dataValidation type="list" allowBlank="1" sqref="T3:T501">
      <formula1>CATALOGOS!$H$2:$H$5</formula1>
    </dataValidation>
    <dataValidation type="list" allowBlank="1" sqref="N3:N501">
      <formula1>CATALOGOS!$G$2:$G$16</formula1>
    </dataValidation>
    <dataValidation type="list" allowBlank="1" sqref="M3:M501">
      <formula1>CATALOGOS!$F$2:$F$6</formula1>
    </dataValidation>
    <dataValidation type="list" allowBlank="1" sqref="P3:P501">
      <formula1>CATALOGOS!$C$2:$C$10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8.0"/>
    <col customWidth="1" min="2" max="2" width="22.0"/>
    <col customWidth="1" min="3" max="3" width="20.0"/>
    <col customWidth="1" min="4" max="4" width="24.0"/>
    <col customWidth="1" min="5" max="5" width="34.0"/>
    <col customWidth="1" min="6" max="6" width="18.0"/>
    <col customWidth="1" min="7" max="7" width="14.0"/>
    <col customWidth="1" min="8" max="8" width="18.0"/>
    <col customWidth="1" min="9" max="9" width="20.0"/>
    <col customWidth="1" min="10" max="10" width="18.0"/>
    <col customWidth="1" min="11" max="12" width="16.0"/>
    <col customWidth="1" min="13" max="13" width="12.0"/>
    <col customWidth="1" min="14" max="14" width="30.0"/>
    <col customWidth="1" min="15" max="15" width="14.0"/>
    <col customWidth="1" min="16" max="16" width="30.0"/>
    <col customWidth="1" min="17" max="26" width="8.71"/>
  </cols>
  <sheetData>
    <row r="1" ht="25.5" customHeight="1">
      <c r="A1" s="25" t="s">
        <v>218</v>
      </c>
      <c r="B1" s="26" t="s">
        <v>219</v>
      </c>
      <c r="C1" s="27" t="s">
        <v>220</v>
      </c>
      <c r="D1" s="28" t="s">
        <v>221</v>
      </c>
      <c r="E1" s="29" t="s">
        <v>222</v>
      </c>
      <c r="F1" s="30" t="s">
        <v>223</v>
      </c>
      <c r="G1" s="1"/>
      <c r="H1" s="1"/>
      <c r="I1" s="1"/>
      <c r="J1" s="1"/>
      <c r="K1" s="1"/>
      <c r="L1" s="1"/>
      <c r="M1" s="1"/>
      <c r="N1" s="1"/>
      <c r="O1" s="1"/>
      <c r="P1" s="1"/>
    </row>
    <row r="2" ht="15.0" customHeight="1">
      <c r="A2" s="23" t="s">
        <v>262</v>
      </c>
      <c r="B2" s="23" t="s">
        <v>225</v>
      </c>
      <c r="C2" s="23" t="s">
        <v>236</v>
      </c>
      <c r="D2" s="23" t="s">
        <v>4</v>
      </c>
      <c r="E2" s="23" t="s">
        <v>263</v>
      </c>
      <c r="F2" s="23" t="s">
        <v>264</v>
      </c>
      <c r="G2" s="23" t="s">
        <v>265</v>
      </c>
      <c r="H2" s="23" t="s">
        <v>266</v>
      </c>
      <c r="I2" s="23" t="s">
        <v>267</v>
      </c>
      <c r="J2" s="23" t="s">
        <v>268</v>
      </c>
      <c r="K2" s="23" t="s">
        <v>269</v>
      </c>
      <c r="L2" s="23" t="s">
        <v>270</v>
      </c>
      <c r="M2" s="23" t="s">
        <v>26</v>
      </c>
      <c r="N2" s="23" t="s">
        <v>240</v>
      </c>
      <c r="O2" s="23" t="s">
        <v>241</v>
      </c>
      <c r="P2" s="23" t="s">
        <v>242</v>
      </c>
    </row>
    <row r="3" ht="15.0" customHeight="1">
      <c r="A3" s="8" t="str">
        <f t="shared" ref="A3:A6" si="1">IF(B3="","","D"&amp;TEXT(ROW()-2,"000"))</f>
        <v>D001</v>
      </c>
      <c r="B3" s="32" t="s">
        <v>271</v>
      </c>
      <c r="C3" s="32" t="s">
        <v>161</v>
      </c>
      <c r="D3" s="32" t="s">
        <v>100</v>
      </c>
      <c r="E3" s="32" t="s">
        <v>272</v>
      </c>
      <c r="F3" s="32" t="s">
        <v>273</v>
      </c>
      <c r="G3" s="35" t="s">
        <v>174</v>
      </c>
      <c r="H3" s="36">
        <v>140000.0</v>
      </c>
      <c r="I3" s="36">
        <v>140000.0</v>
      </c>
      <c r="J3" s="36">
        <v>70000.0</v>
      </c>
      <c r="K3" s="34" t="s">
        <v>188</v>
      </c>
      <c r="L3" s="33" t="s">
        <v>256</v>
      </c>
      <c r="M3" s="32" t="s">
        <v>163</v>
      </c>
      <c r="N3" s="32" t="s">
        <v>274</v>
      </c>
      <c r="O3" s="34" t="s">
        <v>275</v>
      </c>
      <c r="P3" s="33" t="s">
        <v>276</v>
      </c>
    </row>
    <row r="4" ht="15.0" customHeight="1">
      <c r="A4" s="8" t="str">
        <f t="shared" si="1"/>
        <v>D002</v>
      </c>
      <c r="B4" s="37" t="s">
        <v>277</v>
      </c>
      <c r="C4" s="37" t="s">
        <v>161</v>
      </c>
      <c r="D4" s="37" t="s">
        <v>278</v>
      </c>
      <c r="E4" s="38" t="s">
        <v>279</v>
      </c>
      <c r="F4" s="37" t="s">
        <v>191</v>
      </c>
      <c r="G4" s="37" t="s">
        <v>280</v>
      </c>
      <c r="H4" s="39">
        <v>90000.0</v>
      </c>
      <c r="I4" s="39">
        <v>90000.0</v>
      </c>
      <c r="J4" s="39">
        <f t="shared" ref="J4:J6" si="2">IF(OR(I4="",G4=""),"",I4*VALUE(SUBSTITUTE(G4,"%",""))/100)</f>
        <v>90000</v>
      </c>
      <c r="K4" s="37" t="s">
        <v>145</v>
      </c>
      <c r="L4" s="37" t="s">
        <v>172</v>
      </c>
      <c r="M4" s="37" t="s">
        <v>281</v>
      </c>
      <c r="N4" s="38" t="s">
        <v>282</v>
      </c>
      <c r="O4" s="1"/>
      <c r="P4" s="1"/>
    </row>
    <row r="5" ht="15.0" customHeight="1">
      <c r="A5" s="8" t="str">
        <f t="shared" si="1"/>
        <v>D003</v>
      </c>
      <c r="B5" s="37" t="s">
        <v>277</v>
      </c>
      <c r="C5" s="37" t="s">
        <v>161</v>
      </c>
      <c r="D5" s="37" t="s">
        <v>120</v>
      </c>
      <c r="E5" s="38" t="s">
        <v>279</v>
      </c>
      <c r="F5" s="37" t="s">
        <v>191</v>
      </c>
      <c r="G5" s="37" t="s">
        <v>280</v>
      </c>
      <c r="H5" s="39">
        <v>30000.0</v>
      </c>
      <c r="I5" s="39">
        <v>30000.0</v>
      </c>
      <c r="J5" s="39">
        <f t="shared" si="2"/>
        <v>30000</v>
      </c>
      <c r="K5" s="37" t="s">
        <v>145</v>
      </c>
      <c r="L5" s="37" t="s">
        <v>172</v>
      </c>
      <c r="M5" s="37" t="s">
        <v>283</v>
      </c>
      <c r="N5" s="38" t="s">
        <v>284</v>
      </c>
      <c r="O5" s="1"/>
      <c r="P5" s="1"/>
    </row>
    <row r="6" ht="15.0" customHeight="1">
      <c r="A6" s="8" t="str">
        <f t="shared" si="1"/>
        <v>D004</v>
      </c>
      <c r="B6" s="37" t="s">
        <v>277</v>
      </c>
      <c r="C6" s="37" t="s">
        <v>161</v>
      </c>
      <c r="D6" s="37" t="s">
        <v>285</v>
      </c>
      <c r="E6" s="38" t="s">
        <v>279</v>
      </c>
      <c r="F6" s="37" t="s">
        <v>173</v>
      </c>
      <c r="G6" s="37" t="s">
        <v>184</v>
      </c>
      <c r="H6" s="39">
        <v>90000.0</v>
      </c>
      <c r="I6" s="39">
        <v>90000.0</v>
      </c>
      <c r="J6" s="39">
        <f t="shared" si="2"/>
        <v>67500</v>
      </c>
      <c r="K6" s="37" t="s">
        <v>188</v>
      </c>
      <c r="L6" s="37" t="s">
        <v>172</v>
      </c>
      <c r="M6" s="37" t="s">
        <v>286</v>
      </c>
      <c r="N6" s="38"/>
      <c r="O6" s="1"/>
      <c r="P6" s="1"/>
    </row>
    <row r="7" ht="15.0" customHeight="1">
      <c r="A7" s="32" t="s">
        <v>287</v>
      </c>
      <c r="B7" s="40" t="s">
        <v>288</v>
      </c>
      <c r="C7" s="40" t="s">
        <v>171</v>
      </c>
      <c r="D7" s="40" t="s">
        <v>105</v>
      </c>
      <c r="E7" s="41" t="s">
        <v>289</v>
      </c>
      <c r="F7" s="40" t="s">
        <v>173</v>
      </c>
      <c r="G7" s="40">
        <v>0.75</v>
      </c>
      <c r="H7" s="42">
        <v>35000.0</v>
      </c>
      <c r="I7" s="39"/>
      <c r="J7" s="39"/>
      <c r="K7" s="43" t="s">
        <v>188</v>
      </c>
      <c r="L7" s="37"/>
      <c r="M7" s="40" t="s">
        <v>172</v>
      </c>
      <c r="N7" s="41" t="s">
        <v>290</v>
      </c>
      <c r="O7" s="34" t="s">
        <v>275</v>
      </c>
      <c r="P7" s="33" t="s">
        <v>291</v>
      </c>
    </row>
    <row r="8" ht="15.0" customHeight="1">
      <c r="A8" s="32" t="s">
        <v>292</v>
      </c>
      <c r="B8" s="33" t="s">
        <v>293</v>
      </c>
      <c r="C8" s="33" t="s">
        <v>294</v>
      </c>
      <c r="D8" s="33" t="s">
        <v>94</v>
      </c>
      <c r="E8" s="33" t="s">
        <v>295</v>
      </c>
      <c r="F8" s="33" t="s">
        <v>296</v>
      </c>
      <c r="G8" s="34" t="s">
        <v>297</v>
      </c>
      <c r="H8" s="44" t="s">
        <v>256</v>
      </c>
      <c r="I8" s="44" t="s">
        <v>256</v>
      </c>
      <c r="J8" s="36" t="s">
        <v>256</v>
      </c>
      <c r="K8" s="34" t="s">
        <v>188</v>
      </c>
      <c r="L8" s="33" t="s">
        <v>256</v>
      </c>
      <c r="M8" s="33" t="s">
        <v>163</v>
      </c>
      <c r="N8" s="33" t="s">
        <v>298</v>
      </c>
      <c r="O8" s="33" t="s">
        <v>256</v>
      </c>
      <c r="P8" s="33" t="s">
        <v>299</v>
      </c>
    </row>
    <row r="9" ht="15.0" customHeight="1">
      <c r="A9" s="32" t="s">
        <v>300</v>
      </c>
      <c r="B9" s="33" t="s">
        <v>301</v>
      </c>
      <c r="C9" s="33" t="s">
        <v>161</v>
      </c>
      <c r="D9" s="33" t="s">
        <v>302</v>
      </c>
      <c r="E9" s="33" t="s">
        <v>303</v>
      </c>
      <c r="F9" s="33" t="s">
        <v>304</v>
      </c>
      <c r="G9" s="34" t="s">
        <v>297</v>
      </c>
      <c r="H9" s="44">
        <v>120000.0</v>
      </c>
      <c r="I9" s="44" t="s">
        <v>256</v>
      </c>
      <c r="J9" s="36" t="s">
        <v>256</v>
      </c>
      <c r="K9" s="34" t="s">
        <v>188</v>
      </c>
      <c r="L9" s="33" t="s">
        <v>256</v>
      </c>
      <c r="M9" s="33" t="s">
        <v>172</v>
      </c>
      <c r="N9" s="33" t="s">
        <v>305</v>
      </c>
      <c r="O9" s="33" t="s">
        <v>256</v>
      </c>
      <c r="P9" s="33" t="s">
        <v>306</v>
      </c>
    </row>
    <row r="10" ht="15.0" customHeight="1">
      <c r="A10" s="32" t="s">
        <v>307</v>
      </c>
      <c r="B10" s="33" t="s">
        <v>308</v>
      </c>
      <c r="C10" s="33" t="s">
        <v>309</v>
      </c>
      <c r="D10" s="33" t="s">
        <v>302</v>
      </c>
      <c r="E10" s="33" t="s">
        <v>310</v>
      </c>
      <c r="F10" s="33" t="s">
        <v>311</v>
      </c>
      <c r="G10" s="33" t="s">
        <v>256</v>
      </c>
      <c r="H10" s="44" t="s">
        <v>256</v>
      </c>
      <c r="I10" s="44" t="s">
        <v>256</v>
      </c>
      <c r="J10" s="36" t="s">
        <v>256</v>
      </c>
      <c r="K10" s="34" t="s">
        <v>188</v>
      </c>
      <c r="L10" s="33" t="s">
        <v>256</v>
      </c>
      <c r="M10" s="33" t="s">
        <v>163</v>
      </c>
      <c r="N10" s="33" t="s">
        <v>312</v>
      </c>
      <c r="O10" s="34" t="s">
        <v>275</v>
      </c>
      <c r="P10" s="33" t="s">
        <v>313</v>
      </c>
    </row>
    <row r="11" ht="15.0" customHeight="1">
      <c r="A11" s="32" t="s">
        <v>314</v>
      </c>
      <c r="B11" s="33" t="s">
        <v>315</v>
      </c>
      <c r="C11" s="33" t="s">
        <v>316</v>
      </c>
      <c r="D11" s="33" t="s">
        <v>71</v>
      </c>
      <c r="E11" s="33" t="s">
        <v>317</v>
      </c>
      <c r="F11" s="33" t="s">
        <v>318</v>
      </c>
      <c r="G11" s="33">
        <v>0.75</v>
      </c>
      <c r="H11" s="44">
        <v>500000.0</v>
      </c>
      <c r="I11" s="44" t="s">
        <v>256</v>
      </c>
      <c r="J11" s="36" t="s">
        <v>256</v>
      </c>
      <c r="K11" s="34" t="s">
        <v>188</v>
      </c>
      <c r="L11" s="33" t="s">
        <v>256</v>
      </c>
      <c r="M11" s="33" t="s">
        <v>163</v>
      </c>
      <c r="N11" s="33" t="s">
        <v>319</v>
      </c>
      <c r="O11" s="34" t="s">
        <v>275</v>
      </c>
      <c r="P11" s="33" t="s">
        <v>320</v>
      </c>
    </row>
    <row r="12" ht="15.0" customHeight="1">
      <c r="A12" s="32" t="s">
        <v>321</v>
      </c>
      <c r="B12" s="33" t="s">
        <v>322</v>
      </c>
      <c r="C12" s="33" t="s">
        <v>316</v>
      </c>
      <c r="D12" s="33" t="s">
        <v>323</v>
      </c>
      <c r="E12" s="33" t="s">
        <v>324</v>
      </c>
      <c r="F12" s="33" t="s">
        <v>325</v>
      </c>
      <c r="G12" s="33">
        <v>0.35</v>
      </c>
      <c r="H12" s="44" t="s">
        <v>256</v>
      </c>
      <c r="I12" s="44" t="s">
        <v>256</v>
      </c>
      <c r="J12" s="36" t="s">
        <v>256</v>
      </c>
      <c r="K12" s="34" t="s">
        <v>188</v>
      </c>
      <c r="L12" s="33" t="s">
        <v>256</v>
      </c>
      <c r="M12" s="33" t="s">
        <v>163</v>
      </c>
      <c r="N12" s="33" t="s">
        <v>326</v>
      </c>
      <c r="O12" s="34" t="s">
        <v>327</v>
      </c>
      <c r="P12" s="33" t="s">
        <v>328</v>
      </c>
    </row>
    <row r="13" ht="15.0" customHeight="1">
      <c r="A13" s="8" t="str">
        <f t="shared" ref="A13:A251" si="3">IF(B13="","","D"&amp;TEXT(ROW()-2,"000"))</f>
        <v/>
      </c>
      <c r="B13" s="1"/>
      <c r="C13" s="1"/>
      <c r="D13" s="1"/>
      <c r="E13" s="1"/>
      <c r="F13" s="1"/>
      <c r="G13" s="1"/>
      <c r="H13" s="45"/>
      <c r="I13" s="45"/>
      <c r="J13" s="46" t="str">
        <f t="shared" ref="J13:J251" si="4">IF(OR(I13="",G13=""),"",I13*VALUE(SUBSTITUTE(G13,"%",""))/100)</f>
        <v/>
      </c>
      <c r="K13" s="1"/>
      <c r="L13" s="1"/>
      <c r="M13" s="1"/>
      <c r="N13" s="1"/>
      <c r="O13" s="1"/>
      <c r="P13" s="1"/>
    </row>
    <row r="14" ht="15.0" customHeight="1">
      <c r="A14" s="8" t="str">
        <f t="shared" si="3"/>
        <v/>
      </c>
      <c r="B14" s="1"/>
      <c r="C14" s="1"/>
      <c r="D14" s="1"/>
      <c r="E14" s="1"/>
      <c r="F14" s="1"/>
      <c r="G14" s="1"/>
      <c r="H14" s="45"/>
      <c r="I14" s="45"/>
      <c r="J14" s="46" t="str">
        <f t="shared" si="4"/>
        <v/>
      </c>
      <c r="K14" s="1"/>
      <c r="L14" s="1"/>
      <c r="M14" s="1"/>
      <c r="N14" s="1"/>
      <c r="O14" s="1"/>
      <c r="P14" s="1"/>
    </row>
    <row r="15" ht="15.0" customHeight="1">
      <c r="A15" s="8" t="str">
        <f t="shared" si="3"/>
        <v/>
      </c>
      <c r="B15" s="1"/>
      <c r="C15" s="1"/>
      <c r="D15" s="1"/>
      <c r="E15" s="1"/>
      <c r="F15" s="1"/>
      <c r="G15" s="1"/>
      <c r="H15" s="45"/>
      <c r="I15" s="45"/>
      <c r="J15" s="46" t="str">
        <f t="shared" si="4"/>
        <v/>
      </c>
      <c r="K15" s="1"/>
      <c r="L15" s="1"/>
      <c r="M15" s="1"/>
      <c r="N15" s="1"/>
      <c r="O15" s="1"/>
      <c r="P15" s="1"/>
    </row>
    <row r="16" ht="15.0" customHeight="1">
      <c r="A16" s="8" t="str">
        <f t="shared" si="3"/>
        <v/>
      </c>
      <c r="B16" s="1"/>
      <c r="C16" s="1"/>
      <c r="D16" s="1"/>
      <c r="E16" s="1"/>
      <c r="F16" s="1"/>
      <c r="G16" s="1"/>
      <c r="H16" s="45"/>
      <c r="I16" s="45"/>
      <c r="J16" s="46" t="str">
        <f t="shared" si="4"/>
        <v/>
      </c>
      <c r="K16" s="1"/>
      <c r="L16" s="1"/>
      <c r="M16" s="1"/>
      <c r="N16" s="1"/>
      <c r="O16" s="1"/>
      <c r="P16" s="1"/>
    </row>
    <row r="17" ht="15.0" customHeight="1">
      <c r="A17" s="8" t="str">
        <f t="shared" si="3"/>
        <v/>
      </c>
      <c r="B17" s="1"/>
      <c r="C17" s="1"/>
      <c r="D17" s="1"/>
      <c r="E17" s="1"/>
      <c r="F17" s="1"/>
      <c r="G17" s="1"/>
      <c r="H17" s="45"/>
      <c r="I17" s="45"/>
      <c r="J17" s="46" t="str">
        <f t="shared" si="4"/>
        <v/>
      </c>
      <c r="K17" s="1"/>
      <c r="L17" s="1"/>
      <c r="M17" s="1"/>
      <c r="N17" s="1"/>
      <c r="O17" s="1"/>
      <c r="P17" s="1"/>
    </row>
    <row r="18" ht="15.0" customHeight="1">
      <c r="A18" s="8" t="str">
        <f t="shared" si="3"/>
        <v/>
      </c>
      <c r="B18" s="1"/>
      <c r="C18" s="1"/>
      <c r="D18" s="1"/>
      <c r="E18" s="1"/>
      <c r="F18" s="1"/>
      <c r="G18" s="1"/>
      <c r="H18" s="45"/>
      <c r="I18" s="45"/>
      <c r="J18" s="46" t="str">
        <f t="shared" si="4"/>
        <v/>
      </c>
      <c r="K18" s="1"/>
      <c r="L18" s="1"/>
      <c r="M18" s="1"/>
      <c r="N18" s="1"/>
      <c r="O18" s="1"/>
      <c r="P18" s="1"/>
    </row>
    <row r="19" ht="15.0" customHeight="1">
      <c r="A19" s="8" t="str">
        <f t="shared" si="3"/>
        <v/>
      </c>
      <c r="B19" s="1"/>
      <c r="C19" s="1"/>
      <c r="D19" s="1"/>
      <c r="E19" s="1"/>
      <c r="F19" s="1"/>
      <c r="G19" s="1"/>
      <c r="H19" s="45"/>
      <c r="I19" s="45"/>
      <c r="J19" s="46" t="str">
        <f t="shared" si="4"/>
        <v/>
      </c>
      <c r="K19" s="1"/>
      <c r="L19" s="1"/>
      <c r="M19" s="1"/>
      <c r="N19" s="1"/>
      <c r="O19" s="1"/>
      <c r="P19" s="1"/>
    </row>
    <row r="20" ht="15.0" customHeight="1">
      <c r="A20" s="8" t="str">
        <f t="shared" si="3"/>
        <v/>
      </c>
      <c r="B20" s="1"/>
      <c r="C20" s="1"/>
      <c r="D20" s="1"/>
      <c r="E20" s="1"/>
      <c r="F20" s="1"/>
      <c r="G20" s="1"/>
      <c r="H20" s="45"/>
      <c r="I20" s="45"/>
      <c r="J20" s="46" t="str">
        <f t="shared" si="4"/>
        <v/>
      </c>
      <c r="K20" s="1"/>
      <c r="L20" s="1"/>
      <c r="M20" s="1"/>
      <c r="N20" s="1"/>
      <c r="O20" s="1"/>
      <c r="P20" s="1"/>
    </row>
    <row r="21" ht="15.0" customHeight="1">
      <c r="A21" s="8" t="str">
        <f t="shared" si="3"/>
        <v/>
      </c>
      <c r="B21" s="1"/>
      <c r="C21" s="1"/>
      <c r="D21" s="1"/>
      <c r="E21" s="1"/>
      <c r="F21" s="1"/>
      <c r="G21" s="1"/>
      <c r="H21" s="45"/>
      <c r="I21" s="45"/>
      <c r="J21" s="46" t="str">
        <f t="shared" si="4"/>
        <v/>
      </c>
      <c r="K21" s="1"/>
      <c r="L21" s="1"/>
      <c r="M21" s="1"/>
      <c r="N21" s="1"/>
      <c r="O21" s="1"/>
      <c r="P21" s="1"/>
    </row>
    <row r="22" ht="15.0" customHeight="1">
      <c r="A22" s="8" t="str">
        <f t="shared" si="3"/>
        <v/>
      </c>
      <c r="B22" s="1"/>
      <c r="C22" s="1"/>
      <c r="D22" s="1"/>
      <c r="E22" s="1"/>
      <c r="F22" s="1"/>
      <c r="G22" s="1"/>
      <c r="H22" s="45"/>
      <c r="I22" s="45"/>
      <c r="J22" s="46" t="str">
        <f t="shared" si="4"/>
        <v/>
      </c>
      <c r="K22" s="1"/>
      <c r="L22" s="1"/>
      <c r="M22" s="1"/>
      <c r="N22" s="1"/>
      <c r="O22" s="1"/>
      <c r="P22" s="1"/>
    </row>
    <row r="23" ht="15.0" customHeight="1">
      <c r="A23" s="8" t="str">
        <f t="shared" si="3"/>
        <v/>
      </c>
      <c r="B23" s="1"/>
      <c r="C23" s="1"/>
      <c r="D23" s="1"/>
      <c r="E23" s="1"/>
      <c r="F23" s="1"/>
      <c r="G23" s="1"/>
      <c r="H23" s="45"/>
      <c r="I23" s="45"/>
      <c r="J23" s="46" t="str">
        <f t="shared" si="4"/>
        <v/>
      </c>
      <c r="K23" s="1"/>
      <c r="L23" s="1"/>
      <c r="M23" s="1"/>
      <c r="N23" s="1"/>
      <c r="O23" s="1"/>
      <c r="P23" s="1"/>
    </row>
    <row r="24" ht="15.0" customHeight="1">
      <c r="A24" s="8" t="str">
        <f t="shared" si="3"/>
        <v/>
      </c>
      <c r="B24" s="1"/>
      <c r="C24" s="1"/>
      <c r="D24" s="1"/>
      <c r="E24" s="1"/>
      <c r="F24" s="1"/>
      <c r="G24" s="1"/>
      <c r="H24" s="45"/>
      <c r="I24" s="45"/>
      <c r="J24" s="46" t="str">
        <f t="shared" si="4"/>
        <v/>
      </c>
      <c r="K24" s="1"/>
      <c r="L24" s="1"/>
      <c r="M24" s="1"/>
      <c r="N24" s="1"/>
      <c r="O24" s="1"/>
      <c r="P24" s="1"/>
    </row>
    <row r="25" ht="15.0" customHeight="1">
      <c r="A25" s="8" t="str">
        <f t="shared" si="3"/>
        <v/>
      </c>
      <c r="B25" s="1"/>
      <c r="C25" s="1"/>
      <c r="D25" s="1"/>
      <c r="E25" s="1"/>
      <c r="F25" s="1"/>
      <c r="G25" s="1"/>
      <c r="H25" s="45"/>
      <c r="I25" s="45"/>
      <c r="J25" s="46" t="str">
        <f t="shared" si="4"/>
        <v/>
      </c>
      <c r="K25" s="1"/>
      <c r="L25" s="1"/>
      <c r="M25" s="1"/>
      <c r="N25" s="1"/>
      <c r="O25" s="1"/>
      <c r="P25" s="1"/>
    </row>
    <row r="26" ht="15.0" customHeight="1">
      <c r="A26" s="8" t="str">
        <f t="shared" si="3"/>
        <v/>
      </c>
      <c r="B26" s="1"/>
      <c r="C26" s="1"/>
      <c r="D26" s="1"/>
      <c r="E26" s="1"/>
      <c r="F26" s="1"/>
      <c r="G26" s="1"/>
      <c r="H26" s="45"/>
      <c r="I26" s="45"/>
      <c r="J26" s="46" t="str">
        <f t="shared" si="4"/>
        <v/>
      </c>
      <c r="K26" s="1"/>
      <c r="L26" s="1"/>
      <c r="M26" s="1"/>
      <c r="N26" s="1"/>
      <c r="O26" s="1"/>
      <c r="P26" s="1"/>
    </row>
    <row r="27" ht="15.0" customHeight="1">
      <c r="A27" s="8" t="str">
        <f t="shared" si="3"/>
        <v/>
      </c>
      <c r="B27" s="1"/>
      <c r="C27" s="1"/>
      <c r="D27" s="1"/>
      <c r="E27" s="1"/>
      <c r="F27" s="1"/>
      <c r="G27" s="1"/>
      <c r="H27" s="45"/>
      <c r="I27" s="45"/>
      <c r="J27" s="46" t="str">
        <f t="shared" si="4"/>
        <v/>
      </c>
      <c r="K27" s="1"/>
      <c r="L27" s="1"/>
      <c r="M27" s="1"/>
      <c r="N27" s="1"/>
      <c r="O27" s="1"/>
      <c r="P27" s="1"/>
    </row>
    <row r="28" ht="15.0" customHeight="1">
      <c r="A28" s="8" t="str">
        <f t="shared" si="3"/>
        <v/>
      </c>
      <c r="B28" s="1"/>
      <c r="C28" s="1"/>
      <c r="D28" s="1"/>
      <c r="E28" s="1"/>
      <c r="F28" s="1"/>
      <c r="G28" s="1"/>
      <c r="H28" s="45"/>
      <c r="I28" s="45"/>
      <c r="J28" s="46" t="str">
        <f t="shared" si="4"/>
        <v/>
      </c>
      <c r="K28" s="1"/>
      <c r="L28" s="1"/>
      <c r="M28" s="1"/>
      <c r="N28" s="1"/>
      <c r="O28" s="1"/>
      <c r="P28" s="1"/>
    </row>
    <row r="29" ht="15.0" customHeight="1">
      <c r="A29" s="8" t="str">
        <f t="shared" si="3"/>
        <v/>
      </c>
      <c r="B29" s="1"/>
      <c r="C29" s="1"/>
      <c r="D29" s="1"/>
      <c r="E29" s="1"/>
      <c r="F29" s="1"/>
      <c r="G29" s="1"/>
      <c r="H29" s="45"/>
      <c r="I29" s="45"/>
      <c r="J29" s="46" t="str">
        <f t="shared" si="4"/>
        <v/>
      </c>
      <c r="K29" s="1"/>
      <c r="L29" s="1"/>
      <c r="M29" s="1"/>
      <c r="N29" s="1"/>
      <c r="O29" s="1"/>
      <c r="P29" s="1"/>
    </row>
    <row r="30" ht="15.0" customHeight="1">
      <c r="A30" s="8" t="str">
        <f t="shared" si="3"/>
        <v/>
      </c>
      <c r="B30" s="1"/>
      <c r="C30" s="1"/>
      <c r="D30" s="1"/>
      <c r="E30" s="1"/>
      <c r="F30" s="1"/>
      <c r="G30" s="1"/>
      <c r="H30" s="45"/>
      <c r="I30" s="45"/>
      <c r="J30" s="46" t="str">
        <f t="shared" si="4"/>
        <v/>
      </c>
      <c r="K30" s="1"/>
      <c r="L30" s="1"/>
      <c r="M30" s="1"/>
      <c r="N30" s="1"/>
      <c r="O30" s="1"/>
      <c r="P30" s="1"/>
    </row>
    <row r="31" ht="15.0" customHeight="1">
      <c r="A31" s="8" t="str">
        <f t="shared" si="3"/>
        <v/>
      </c>
      <c r="B31" s="1"/>
      <c r="C31" s="1"/>
      <c r="D31" s="1"/>
      <c r="E31" s="1"/>
      <c r="F31" s="1"/>
      <c r="G31" s="1"/>
      <c r="H31" s="45"/>
      <c r="I31" s="45"/>
      <c r="J31" s="46" t="str">
        <f t="shared" si="4"/>
        <v/>
      </c>
      <c r="K31" s="1"/>
      <c r="L31" s="1"/>
      <c r="M31" s="1"/>
      <c r="N31" s="1"/>
      <c r="O31" s="1"/>
      <c r="P31" s="1"/>
    </row>
    <row r="32" ht="15.0" customHeight="1">
      <c r="A32" s="8" t="str">
        <f t="shared" si="3"/>
        <v/>
      </c>
      <c r="B32" s="1"/>
      <c r="C32" s="1"/>
      <c r="D32" s="1"/>
      <c r="E32" s="1"/>
      <c r="F32" s="1"/>
      <c r="G32" s="1"/>
      <c r="H32" s="45"/>
      <c r="I32" s="45"/>
      <c r="J32" s="46" t="str">
        <f t="shared" si="4"/>
        <v/>
      </c>
      <c r="K32" s="1"/>
      <c r="L32" s="1"/>
      <c r="M32" s="1"/>
      <c r="N32" s="1"/>
      <c r="O32" s="1"/>
      <c r="P32" s="1"/>
    </row>
    <row r="33" ht="15.0" customHeight="1">
      <c r="A33" s="8" t="str">
        <f t="shared" si="3"/>
        <v/>
      </c>
      <c r="B33" s="1"/>
      <c r="C33" s="1"/>
      <c r="D33" s="1"/>
      <c r="E33" s="1"/>
      <c r="F33" s="1"/>
      <c r="G33" s="1"/>
      <c r="H33" s="45"/>
      <c r="I33" s="45"/>
      <c r="J33" s="46" t="str">
        <f t="shared" si="4"/>
        <v/>
      </c>
      <c r="K33" s="1"/>
      <c r="L33" s="1"/>
      <c r="M33" s="1"/>
      <c r="N33" s="1"/>
      <c r="O33" s="1"/>
      <c r="P33" s="1"/>
    </row>
    <row r="34" ht="15.0" customHeight="1">
      <c r="A34" s="8" t="str">
        <f t="shared" si="3"/>
        <v/>
      </c>
      <c r="B34" s="1"/>
      <c r="C34" s="1"/>
      <c r="D34" s="1"/>
      <c r="E34" s="1"/>
      <c r="F34" s="1"/>
      <c r="G34" s="1"/>
      <c r="H34" s="45"/>
      <c r="I34" s="45"/>
      <c r="J34" s="46" t="str">
        <f t="shared" si="4"/>
        <v/>
      </c>
      <c r="K34" s="1"/>
      <c r="L34" s="1"/>
      <c r="M34" s="1"/>
      <c r="N34" s="1"/>
      <c r="O34" s="1"/>
      <c r="P34" s="1"/>
    </row>
    <row r="35" ht="15.0" customHeight="1">
      <c r="A35" s="8" t="str">
        <f t="shared" si="3"/>
        <v/>
      </c>
      <c r="B35" s="1"/>
      <c r="C35" s="1"/>
      <c r="D35" s="1"/>
      <c r="E35" s="1"/>
      <c r="F35" s="1"/>
      <c r="G35" s="1"/>
      <c r="H35" s="45"/>
      <c r="I35" s="45"/>
      <c r="J35" s="46" t="str">
        <f t="shared" si="4"/>
        <v/>
      </c>
      <c r="K35" s="1"/>
      <c r="L35" s="1"/>
      <c r="M35" s="1"/>
      <c r="N35" s="1"/>
      <c r="O35" s="1"/>
      <c r="P35" s="1"/>
    </row>
    <row r="36" ht="15.0" customHeight="1">
      <c r="A36" s="8" t="str">
        <f t="shared" si="3"/>
        <v/>
      </c>
      <c r="B36" s="1"/>
      <c r="C36" s="1"/>
      <c r="D36" s="1"/>
      <c r="E36" s="1"/>
      <c r="F36" s="1"/>
      <c r="G36" s="1"/>
      <c r="H36" s="45"/>
      <c r="I36" s="45"/>
      <c r="J36" s="46" t="str">
        <f t="shared" si="4"/>
        <v/>
      </c>
      <c r="K36" s="1"/>
      <c r="L36" s="1"/>
      <c r="M36" s="1"/>
      <c r="N36" s="1"/>
      <c r="O36" s="1"/>
      <c r="P36" s="1"/>
    </row>
    <row r="37" ht="15.0" customHeight="1">
      <c r="A37" s="8" t="str">
        <f t="shared" si="3"/>
        <v/>
      </c>
      <c r="B37" s="1"/>
      <c r="C37" s="1"/>
      <c r="D37" s="1"/>
      <c r="E37" s="1"/>
      <c r="F37" s="1"/>
      <c r="G37" s="1"/>
      <c r="H37" s="45"/>
      <c r="I37" s="45"/>
      <c r="J37" s="46" t="str">
        <f t="shared" si="4"/>
        <v/>
      </c>
      <c r="K37" s="1"/>
      <c r="L37" s="1"/>
      <c r="M37" s="1"/>
      <c r="N37" s="1"/>
      <c r="O37" s="1"/>
      <c r="P37" s="1"/>
    </row>
    <row r="38" ht="15.0" customHeight="1">
      <c r="A38" s="8" t="str">
        <f t="shared" si="3"/>
        <v/>
      </c>
      <c r="B38" s="1"/>
      <c r="C38" s="1"/>
      <c r="D38" s="1"/>
      <c r="E38" s="1"/>
      <c r="F38" s="1"/>
      <c r="G38" s="1"/>
      <c r="H38" s="45"/>
      <c r="I38" s="45"/>
      <c r="J38" s="46" t="str">
        <f t="shared" si="4"/>
        <v/>
      </c>
      <c r="K38" s="1"/>
      <c r="L38" s="1"/>
      <c r="M38" s="1"/>
      <c r="N38" s="1"/>
      <c r="O38" s="1"/>
      <c r="P38" s="1"/>
    </row>
    <row r="39" ht="15.0" customHeight="1">
      <c r="A39" s="8" t="str">
        <f t="shared" si="3"/>
        <v/>
      </c>
      <c r="B39" s="1"/>
      <c r="C39" s="1"/>
      <c r="D39" s="1"/>
      <c r="E39" s="1"/>
      <c r="F39" s="1"/>
      <c r="G39" s="1"/>
      <c r="H39" s="45"/>
      <c r="I39" s="45"/>
      <c r="J39" s="46" t="str">
        <f t="shared" si="4"/>
        <v/>
      </c>
      <c r="K39" s="1"/>
      <c r="L39" s="1"/>
      <c r="M39" s="1"/>
      <c r="N39" s="1"/>
      <c r="O39" s="1"/>
      <c r="P39" s="1"/>
    </row>
    <row r="40" ht="15.0" customHeight="1">
      <c r="A40" s="8" t="str">
        <f t="shared" si="3"/>
        <v/>
      </c>
      <c r="B40" s="1"/>
      <c r="C40" s="1"/>
      <c r="D40" s="1"/>
      <c r="E40" s="1"/>
      <c r="F40" s="1"/>
      <c r="G40" s="1"/>
      <c r="H40" s="45"/>
      <c r="I40" s="45"/>
      <c r="J40" s="46" t="str">
        <f t="shared" si="4"/>
        <v/>
      </c>
      <c r="K40" s="1"/>
      <c r="L40" s="1"/>
      <c r="M40" s="1"/>
      <c r="N40" s="1"/>
      <c r="O40" s="1"/>
      <c r="P40" s="1"/>
    </row>
    <row r="41" ht="15.0" customHeight="1">
      <c r="A41" s="8" t="str">
        <f t="shared" si="3"/>
        <v/>
      </c>
      <c r="B41" s="1"/>
      <c r="C41" s="1"/>
      <c r="D41" s="1"/>
      <c r="E41" s="1"/>
      <c r="F41" s="1"/>
      <c r="G41" s="1"/>
      <c r="H41" s="45"/>
      <c r="I41" s="45"/>
      <c r="J41" s="46" t="str">
        <f t="shared" si="4"/>
        <v/>
      </c>
      <c r="K41" s="1"/>
      <c r="L41" s="1"/>
      <c r="M41" s="1"/>
      <c r="N41" s="1"/>
      <c r="O41" s="1"/>
      <c r="P41" s="1"/>
    </row>
    <row r="42" ht="15.0" customHeight="1">
      <c r="A42" s="8" t="str">
        <f t="shared" si="3"/>
        <v/>
      </c>
      <c r="B42" s="1"/>
      <c r="C42" s="1"/>
      <c r="D42" s="1"/>
      <c r="E42" s="1"/>
      <c r="F42" s="1"/>
      <c r="G42" s="1"/>
      <c r="H42" s="45"/>
      <c r="I42" s="45"/>
      <c r="J42" s="46" t="str">
        <f t="shared" si="4"/>
        <v/>
      </c>
      <c r="K42" s="1"/>
      <c r="L42" s="1"/>
      <c r="M42" s="1"/>
      <c r="N42" s="1"/>
      <c r="O42" s="1"/>
      <c r="P42" s="1"/>
    </row>
    <row r="43" ht="15.0" customHeight="1">
      <c r="A43" s="8" t="str">
        <f t="shared" si="3"/>
        <v/>
      </c>
      <c r="B43" s="1"/>
      <c r="C43" s="1"/>
      <c r="D43" s="1"/>
      <c r="E43" s="1"/>
      <c r="F43" s="1"/>
      <c r="G43" s="1"/>
      <c r="H43" s="45"/>
      <c r="I43" s="45"/>
      <c r="J43" s="46" t="str">
        <f t="shared" si="4"/>
        <v/>
      </c>
      <c r="K43" s="1"/>
      <c r="L43" s="1"/>
      <c r="M43" s="1"/>
      <c r="N43" s="1"/>
      <c r="O43" s="1"/>
      <c r="P43" s="1"/>
    </row>
    <row r="44" ht="15.0" customHeight="1">
      <c r="A44" s="8" t="str">
        <f t="shared" si="3"/>
        <v/>
      </c>
      <c r="B44" s="1"/>
      <c r="C44" s="1"/>
      <c r="D44" s="1"/>
      <c r="E44" s="1"/>
      <c r="F44" s="1"/>
      <c r="G44" s="1"/>
      <c r="H44" s="45"/>
      <c r="I44" s="45"/>
      <c r="J44" s="46" t="str">
        <f t="shared" si="4"/>
        <v/>
      </c>
      <c r="K44" s="1"/>
      <c r="L44" s="1"/>
      <c r="M44" s="1"/>
      <c r="N44" s="1"/>
      <c r="O44" s="1"/>
      <c r="P44" s="1"/>
    </row>
    <row r="45" ht="15.0" customHeight="1">
      <c r="A45" s="8" t="str">
        <f t="shared" si="3"/>
        <v/>
      </c>
      <c r="B45" s="1"/>
      <c r="C45" s="1"/>
      <c r="D45" s="1"/>
      <c r="E45" s="1"/>
      <c r="F45" s="1"/>
      <c r="G45" s="1"/>
      <c r="H45" s="45"/>
      <c r="I45" s="45"/>
      <c r="J45" s="46" t="str">
        <f t="shared" si="4"/>
        <v/>
      </c>
      <c r="K45" s="1"/>
      <c r="L45" s="1"/>
      <c r="M45" s="1"/>
      <c r="N45" s="1"/>
      <c r="O45" s="1"/>
      <c r="P45" s="1"/>
    </row>
    <row r="46" ht="15.0" customHeight="1">
      <c r="A46" s="8" t="str">
        <f t="shared" si="3"/>
        <v/>
      </c>
      <c r="B46" s="1"/>
      <c r="C46" s="1"/>
      <c r="D46" s="1"/>
      <c r="E46" s="1"/>
      <c r="F46" s="1"/>
      <c r="G46" s="1"/>
      <c r="H46" s="45"/>
      <c r="I46" s="45"/>
      <c r="J46" s="46" t="str">
        <f t="shared" si="4"/>
        <v/>
      </c>
      <c r="K46" s="1"/>
      <c r="L46" s="1"/>
      <c r="M46" s="1"/>
      <c r="N46" s="1"/>
      <c r="O46" s="1"/>
      <c r="P46" s="1"/>
    </row>
    <row r="47" ht="15.0" customHeight="1">
      <c r="A47" s="8" t="str">
        <f t="shared" si="3"/>
        <v/>
      </c>
      <c r="B47" s="1"/>
      <c r="C47" s="1"/>
      <c r="D47" s="1"/>
      <c r="E47" s="1"/>
      <c r="F47" s="1"/>
      <c r="G47" s="1"/>
      <c r="H47" s="45"/>
      <c r="I47" s="45"/>
      <c r="J47" s="46" t="str">
        <f t="shared" si="4"/>
        <v/>
      </c>
      <c r="K47" s="1"/>
      <c r="L47" s="1"/>
      <c r="M47" s="1"/>
      <c r="N47" s="1"/>
      <c r="O47" s="1"/>
      <c r="P47" s="1"/>
    </row>
    <row r="48" ht="15.0" customHeight="1">
      <c r="A48" s="8" t="str">
        <f t="shared" si="3"/>
        <v/>
      </c>
      <c r="B48" s="1"/>
      <c r="C48" s="1"/>
      <c r="D48" s="1"/>
      <c r="E48" s="1"/>
      <c r="F48" s="1"/>
      <c r="G48" s="1"/>
      <c r="H48" s="45"/>
      <c r="I48" s="45"/>
      <c r="J48" s="46" t="str">
        <f t="shared" si="4"/>
        <v/>
      </c>
      <c r="K48" s="1"/>
      <c r="L48" s="1"/>
      <c r="M48" s="1"/>
      <c r="N48" s="1"/>
      <c r="O48" s="1"/>
      <c r="P48" s="1"/>
    </row>
    <row r="49" ht="15.0" customHeight="1">
      <c r="A49" s="8" t="str">
        <f t="shared" si="3"/>
        <v/>
      </c>
      <c r="B49" s="1"/>
      <c r="C49" s="1"/>
      <c r="D49" s="1"/>
      <c r="E49" s="1"/>
      <c r="F49" s="1"/>
      <c r="G49" s="1"/>
      <c r="H49" s="45"/>
      <c r="I49" s="45"/>
      <c r="J49" s="46" t="str">
        <f t="shared" si="4"/>
        <v/>
      </c>
      <c r="K49" s="1"/>
      <c r="L49" s="1"/>
      <c r="M49" s="1"/>
      <c r="N49" s="1"/>
      <c r="O49" s="1"/>
      <c r="P49" s="1"/>
    </row>
    <row r="50" ht="15.0" customHeight="1">
      <c r="A50" s="8" t="str">
        <f t="shared" si="3"/>
        <v/>
      </c>
      <c r="B50" s="1"/>
      <c r="C50" s="1"/>
      <c r="D50" s="1"/>
      <c r="E50" s="1"/>
      <c r="F50" s="1"/>
      <c r="G50" s="1"/>
      <c r="H50" s="45"/>
      <c r="I50" s="45"/>
      <c r="J50" s="46" t="str">
        <f t="shared" si="4"/>
        <v/>
      </c>
      <c r="K50" s="1"/>
      <c r="L50" s="1"/>
      <c r="M50" s="1"/>
      <c r="N50" s="1"/>
      <c r="O50" s="1"/>
      <c r="P50" s="1"/>
    </row>
    <row r="51" ht="15.0" customHeight="1">
      <c r="A51" s="8" t="str">
        <f t="shared" si="3"/>
        <v/>
      </c>
      <c r="B51" s="1"/>
      <c r="C51" s="1"/>
      <c r="D51" s="1"/>
      <c r="E51" s="1"/>
      <c r="F51" s="1"/>
      <c r="G51" s="1"/>
      <c r="H51" s="45"/>
      <c r="I51" s="45"/>
      <c r="J51" s="46" t="str">
        <f t="shared" si="4"/>
        <v/>
      </c>
      <c r="K51" s="1"/>
      <c r="L51" s="1"/>
      <c r="M51" s="1"/>
      <c r="N51" s="1"/>
      <c r="O51" s="1"/>
      <c r="P51" s="1"/>
    </row>
    <row r="52" ht="15.0" customHeight="1">
      <c r="A52" s="8" t="str">
        <f t="shared" si="3"/>
        <v/>
      </c>
      <c r="B52" s="1"/>
      <c r="C52" s="1"/>
      <c r="D52" s="1"/>
      <c r="E52" s="1"/>
      <c r="F52" s="1"/>
      <c r="G52" s="1"/>
      <c r="H52" s="45"/>
      <c r="I52" s="45"/>
      <c r="J52" s="46" t="str">
        <f t="shared" si="4"/>
        <v/>
      </c>
      <c r="K52" s="1"/>
      <c r="L52" s="1"/>
      <c r="M52" s="1"/>
      <c r="N52" s="1"/>
      <c r="O52" s="1"/>
      <c r="P52" s="1"/>
    </row>
    <row r="53" ht="15.0" customHeight="1">
      <c r="A53" s="8" t="str">
        <f t="shared" si="3"/>
        <v/>
      </c>
      <c r="B53" s="1"/>
      <c r="C53" s="1"/>
      <c r="D53" s="1"/>
      <c r="E53" s="1"/>
      <c r="F53" s="1"/>
      <c r="G53" s="1"/>
      <c r="H53" s="45"/>
      <c r="I53" s="45"/>
      <c r="J53" s="46" t="str">
        <f t="shared" si="4"/>
        <v/>
      </c>
      <c r="K53" s="1"/>
      <c r="L53" s="1"/>
      <c r="M53" s="1"/>
      <c r="N53" s="1"/>
      <c r="O53" s="1"/>
      <c r="P53" s="1"/>
    </row>
    <row r="54" ht="15.0" customHeight="1">
      <c r="A54" s="8" t="str">
        <f t="shared" si="3"/>
        <v/>
      </c>
      <c r="B54" s="1"/>
      <c r="C54" s="1"/>
      <c r="D54" s="1"/>
      <c r="E54" s="1"/>
      <c r="F54" s="1"/>
      <c r="G54" s="1"/>
      <c r="H54" s="45"/>
      <c r="I54" s="45"/>
      <c r="J54" s="46" t="str">
        <f t="shared" si="4"/>
        <v/>
      </c>
      <c r="K54" s="1"/>
      <c r="L54" s="1"/>
      <c r="M54" s="1"/>
      <c r="N54" s="1"/>
      <c r="O54" s="1"/>
      <c r="P54" s="1"/>
    </row>
    <row r="55" ht="15.0" customHeight="1">
      <c r="A55" s="8" t="str">
        <f t="shared" si="3"/>
        <v/>
      </c>
      <c r="B55" s="1"/>
      <c r="C55" s="1"/>
      <c r="D55" s="1"/>
      <c r="E55" s="1"/>
      <c r="F55" s="1"/>
      <c r="G55" s="1"/>
      <c r="H55" s="45"/>
      <c r="I55" s="45"/>
      <c r="J55" s="46" t="str">
        <f t="shared" si="4"/>
        <v/>
      </c>
      <c r="K55" s="1"/>
      <c r="L55" s="1"/>
      <c r="M55" s="1"/>
      <c r="N55" s="1"/>
      <c r="O55" s="1"/>
      <c r="P55" s="1"/>
    </row>
    <row r="56" ht="15.0" customHeight="1">
      <c r="A56" s="8" t="str">
        <f t="shared" si="3"/>
        <v/>
      </c>
      <c r="B56" s="1"/>
      <c r="C56" s="1"/>
      <c r="D56" s="1"/>
      <c r="E56" s="1"/>
      <c r="F56" s="1"/>
      <c r="G56" s="1"/>
      <c r="H56" s="45"/>
      <c r="I56" s="45"/>
      <c r="J56" s="46" t="str">
        <f t="shared" si="4"/>
        <v/>
      </c>
      <c r="K56" s="1"/>
      <c r="L56" s="1"/>
      <c r="M56" s="1"/>
      <c r="N56" s="1"/>
      <c r="O56" s="1"/>
      <c r="P56" s="1"/>
    </row>
    <row r="57" ht="15.0" customHeight="1">
      <c r="A57" s="8" t="str">
        <f t="shared" si="3"/>
        <v/>
      </c>
      <c r="B57" s="1"/>
      <c r="C57" s="1"/>
      <c r="D57" s="1"/>
      <c r="E57" s="1"/>
      <c r="F57" s="1"/>
      <c r="G57" s="1"/>
      <c r="H57" s="45"/>
      <c r="I57" s="45"/>
      <c r="J57" s="46" t="str">
        <f t="shared" si="4"/>
        <v/>
      </c>
      <c r="K57" s="1"/>
      <c r="L57" s="1"/>
      <c r="M57" s="1"/>
      <c r="N57" s="1"/>
      <c r="O57" s="1"/>
      <c r="P57" s="1"/>
    </row>
    <row r="58" ht="15.0" customHeight="1">
      <c r="A58" s="8" t="str">
        <f t="shared" si="3"/>
        <v/>
      </c>
      <c r="B58" s="1"/>
      <c r="C58" s="1"/>
      <c r="D58" s="1"/>
      <c r="E58" s="1"/>
      <c r="F58" s="1"/>
      <c r="G58" s="1"/>
      <c r="H58" s="45"/>
      <c r="I58" s="45"/>
      <c r="J58" s="46" t="str">
        <f t="shared" si="4"/>
        <v/>
      </c>
      <c r="K58" s="1"/>
      <c r="L58" s="1"/>
      <c r="M58" s="1"/>
      <c r="N58" s="1"/>
      <c r="O58" s="1"/>
      <c r="P58" s="1"/>
    </row>
    <row r="59" ht="15.0" customHeight="1">
      <c r="A59" s="8" t="str">
        <f t="shared" si="3"/>
        <v/>
      </c>
      <c r="B59" s="1"/>
      <c r="C59" s="1"/>
      <c r="D59" s="1"/>
      <c r="E59" s="1"/>
      <c r="F59" s="1"/>
      <c r="G59" s="1"/>
      <c r="H59" s="45"/>
      <c r="I59" s="45"/>
      <c r="J59" s="46" t="str">
        <f t="shared" si="4"/>
        <v/>
      </c>
      <c r="K59" s="1"/>
      <c r="L59" s="1"/>
      <c r="M59" s="1"/>
      <c r="N59" s="1"/>
      <c r="O59" s="1"/>
      <c r="P59" s="1"/>
    </row>
    <row r="60" ht="15.0" customHeight="1">
      <c r="A60" s="8" t="str">
        <f t="shared" si="3"/>
        <v/>
      </c>
      <c r="B60" s="1"/>
      <c r="C60" s="1"/>
      <c r="D60" s="1"/>
      <c r="E60" s="1"/>
      <c r="F60" s="1"/>
      <c r="G60" s="1"/>
      <c r="H60" s="45"/>
      <c r="I60" s="45"/>
      <c r="J60" s="46" t="str">
        <f t="shared" si="4"/>
        <v/>
      </c>
      <c r="K60" s="1"/>
      <c r="L60" s="1"/>
      <c r="M60" s="1"/>
      <c r="N60" s="1"/>
      <c r="O60" s="1"/>
      <c r="P60" s="1"/>
    </row>
    <row r="61" ht="15.0" customHeight="1">
      <c r="A61" s="8" t="str">
        <f t="shared" si="3"/>
        <v/>
      </c>
      <c r="B61" s="1"/>
      <c r="C61" s="1"/>
      <c r="D61" s="1"/>
      <c r="E61" s="1"/>
      <c r="F61" s="1"/>
      <c r="G61" s="1"/>
      <c r="H61" s="45"/>
      <c r="I61" s="45"/>
      <c r="J61" s="46" t="str">
        <f t="shared" si="4"/>
        <v/>
      </c>
      <c r="K61" s="1"/>
      <c r="L61" s="1"/>
      <c r="M61" s="1"/>
      <c r="N61" s="1"/>
      <c r="O61" s="1"/>
      <c r="P61" s="1"/>
    </row>
    <row r="62" ht="15.0" customHeight="1">
      <c r="A62" s="8" t="str">
        <f t="shared" si="3"/>
        <v/>
      </c>
      <c r="B62" s="1"/>
      <c r="C62" s="1"/>
      <c r="D62" s="1"/>
      <c r="E62" s="1"/>
      <c r="F62" s="1"/>
      <c r="G62" s="1"/>
      <c r="H62" s="45"/>
      <c r="I62" s="45"/>
      <c r="J62" s="46" t="str">
        <f t="shared" si="4"/>
        <v/>
      </c>
      <c r="K62" s="1"/>
      <c r="L62" s="1"/>
      <c r="M62" s="1"/>
      <c r="N62" s="1"/>
      <c r="O62" s="1"/>
      <c r="P62" s="1"/>
    </row>
    <row r="63" ht="15.0" customHeight="1">
      <c r="A63" s="8" t="str">
        <f t="shared" si="3"/>
        <v/>
      </c>
      <c r="B63" s="1"/>
      <c r="C63" s="1"/>
      <c r="D63" s="1"/>
      <c r="E63" s="1"/>
      <c r="F63" s="1"/>
      <c r="G63" s="1"/>
      <c r="H63" s="45"/>
      <c r="I63" s="45"/>
      <c r="J63" s="46" t="str">
        <f t="shared" si="4"/>
        <v/>
      </c>
      <c r="K63" s="1"/>
      <c r="L63" s="1"/>
      <c r="M63" s="1"/>
      <c r="N63" s="1"/>
      <c r="O63" s="1"/>
      <c r="P63" s="1"/>
    </row>
    <row r="64" ht="15.0" customHeight="1">
      <c r="A64" s="8" t="str">
        <f t="shared" si="3"/>
        <v/>
      </c>
      <c r="B64" s="1"/>
      <c r="C64" s="1"/>
      <c r="D64" s="1"/>
      <c r="E64" s="1"/>
      <c r="F64" s="1"/>
      <c r="G64" s="1"/>
      <c r="H64" s="45"/>
      <c r="I64" s="45"/>
      <c r="J64" s="46" t="str">
        <f t="shared" si="4"/>
        <v/>
      </c>
      <c r="K64" s="1"/>
      <c r="L64" s="1"/>
      <c r="M64" s="1"/>
      <c r="N64" s="1"/>
      <c r="O64" s="1"/>
      <c r="P64" s="1"/>
    </row>
    <row r="65" ht="15.0" customHeight="1">
      <c r="A65" s="8" t="str">
        <f t="shared" si="3"/>
        <v/>
      </c>
      <c r="B65" s="1"/>
      <c r="C65" s="1"/>
      <c r="D65" s="1"/>
      <c r="E65" s="1"/>
      <c r="F65" s="1"/>
      <c r="G65" s="1"/>
      <c r="H65" s="45"/>
      <c r="I65" s="45"/>
      <c r="J65" s="46" t="str">
        <f t="shared" si="4"/>
        <v/>
      </c>
      <c r="K65" s="1"/>
      <c r="L65" s="1"/>
      <c r="M65" s="1"/>
      <c r="N65" s="1"/>
      <c r="O65" s="1"/>
      <c r="P65" s="1"/>
    </row>
    <row r="66" ht="15.0" customHeight="1">
      <c r="A66" s="8" t="str">
        <f t="shared" si="3"/>
        <v/>
      </c>
      <c r="B66" s="1"/>
      <c r="C66" s="1"/>
      <c r="D66" s="1"/>
      <c r="E66" s="1"/>
      <c r="F66" s="1"/>
      <c r="G66" s="1"/>
      <c r="H66" s="45"/>
      <c r="I66" s="45"/>
      <c r="J66" s="46" t="str">
        <f t="shared" si="4"/>
        <v/>
      </c>
      <c r="K66" s="1"/>
      <c r="L66" s="1"/>
      <c r="M66" s="1"/>
      <c r="N66" s="1"/>
      <c r="O66" s="1"/>
      <c r="P66" s="1"/>
    </row>
    <row r="67" ht="15.0" customHeight="1">
      <c r="A67" s="8" t="str">
        <f t="shared" si="3"/>
        <v/>
      </c>
      <c r="B67" s="1"/>
      <c r="C67" s="1"/>
      <c r="D67" s="1"/>
      <c r="E67" s="1"/>
      <c r="F67" s="1"/>
      <c r="G67" s="1"/>
      <c r="H67" s="45"/>
      <c r="I67" s="45"/>
      <c r="J67" s="46" t="str">
        <f t="shared" si="4"/>
        <v/>
      </c>
      <c r="K67" s="1"/>
      <c r="L67" s="1"/>
      <c r="M67" s="1"/>
      <c r="N67" s="1"/>
      <c r="O67" s="1"/>
      <c r="P67" s="1"/>
    </row>
    <row r="68" ht="15.0" customHeight="1">
      <c r="A68" s="8" t="str">
        <f t="shared" si="3"/>
        <v/>
      </c>
      <c r="B68" s="1"/>
      <c r="C68" s="1"/>
      <c r="D68" s="1"/>
      <c r="E68" s="1"/>
      <c r="F68" s="1"/>
      <c r="G68" s="1"/>
      <c r="H68" s="45"/>
      <c r="I68" s="45"/>
      <c r="J68" s="46" t="str">
        <f t="shared" si="4"/>
        <v/>
      </c>
      <c r="K68" s="1"/>
      <c r="L68" s="1"/>
      <c r="M68" s="1"/>
      <c r="N68" s="1"/>
      <c r="O68" s="1"/>
      <c r="P68" s="1"/>
    </row>
    <row r="69" ht="15.0" customHeight="1">
      <c r="A69" s="8" t="str">
        <f t="shared" si="3"/>
        <v/>
      </c>
      <c r="B69" s="1"/>
      <c r="C69" s="1"/>
      <c r="D69" s="1"/>
      <c r="E69" s="1"/>
      <c r="F69" s="1"/>
      <c r="G69" s="1"/>
      <c r="H69" s="45"/>
      <c r="I69" s="45"/>
      <c r="J69" s="46" t="str">
        <f t="shared" si="4"/>
        <v/>
      </c>
      <c r="K69" s="1"/>
      <c r="L69" s="1"/>
      <c r="M69" s="1"/>
      <c r="N69" s="1"/>
      <c r="O69" s="1"/>
      <c r="P69" s="1"/>
    </row>
    <row r="70" ht="15.0" customHeight="1">
      <c r="A70" s="8" t="str">
        <f t="shared" si="3"/>
        <v/>
      </c>
      <c r="B70" s="1"/>
      <c r="C70" s="1"/>
      <c r="D70" s="1"/>
      <c r="E70" s="1"/>
      <c r="F70" s="1"/>
      <c r="G70" s="1"/>
      <c r="H70" s="45"/>
      <c r="I70" s="45"/>
      <c r="J70" s="46" t="str">
        <f t="shared" si="4"/>
        <v/>
      </c>
      <c r="K70" s="1"/>
      <c r="L70" s="1"/>
      <c r="M70" s="1"/>
      <c r="N70" s="1"/>
      <c r="O70" s="1"/>
      <c r="P70" s="1"/>
    </row>
    <row r="71" ht="15.0" customHeight="1">
      <c r="A71" s="8" t="str">
        <f t="shared" si="3"/>
        <v/>
      </c>
      <c r="B71" s="1"/>
      <c r="C71" s="1"/>
      <c r="D71" s="1"/>
      <c r="E71" s="1"/>
      <c r="F71" s="1"/>
      <c r="G71" s="1"/>
      <c r="H71" s="45"/>
      <c r="I71" s="45"/>
      <c r="J71" s="46" t="str">
        <f t="shared" si="4"/>
        <v/>
      </c>
      <c r="K71" s="1"/>
      <c r="L71" s="1"/>
      <c r="M71" s="1"/>
      <c r="N71" s="1"/>
      <c r="O71" s="1"/>
      <c r="P71" s="1"/>
    </row>
    <row r="72" ht="15.0" customHeight="1">
      <c r="A72" s="8" t="str">
        <f t="shared" si="3"/>
        <v/>
      </c>
      <c r="B72" s="1"/>
      <c r="C72" s="1"/>
      <c r="D72" s="1"/>
      <c r="E72" s="1"/>
      <c r="F72" s="1"/>
      <c r="G72" s="1"/>
      <c r="H72" s="45"/>
      <c r="I72" s="45"/>
      <c r="J72" s="46" t="str">
        <f t="shared" si="4"/>
        <v/>
      </c>
      <c r="K72" s="1"/>
      <c r="L72" s="1"/>
      <c r="M72" s="1"/>
      <c r="N72" s="1"/>
      <c r="O72" s="1"/>
      <c r="P72" s="1"/>
    </row>
    <row r="73" ht="15.0" customHeight="1">
      <c r="A73" s="8" t="str">
        <f t="shared" si="3"/>
        <v/>
      </c>
      <c r="B73" s="1"/>
      <c r="C73" s="1"/>
      <c r="D73" s="1"/>
      <c r="E73" s="1"/>
      <c r="F73" s="1"/>
      <c r="G73" s="1"/>
      <c r="H73" s="45"/>
      <c r="I73" s="45"/>
      <c r="J73" s="46" t="str">
        <f t="shared" si="4"/>
        <v/>
      </c>
      <c r="K73" s="1"/>
      <c r="L73" s="1"/>
      <c r="M73" s="1"/>
      <c r="N73" s="1"/>
      <c r="O73" s="1"/>
      <c r="P73" s="1"/>
    </row>
    <row r="74" ht="15.0" customHeight="1">
      <c r="A74" s="8" t="str">
        <f t="shared" si="3"/>
        <v/>
      </c>
      <c r="B74" s="1"/>
      <c r="C74" s="1"/>
      <c r="D74" s="1"/>
      <c r="E74" s="1"/>
      <c r="F74" s="1"/>
      <c r="G74" s="1"/>
      <c r="H74" s="45"/>
      <c r="I74" s="45"/>
      <c r="J74" s="46" t="str">
        <f t="shared" si="4"/>
        <v/>
      </c>
      <c r="K74" s="1"/>
      <c r="L74" s="1"/>
      <c r="M74" s="1"/>
      <c r="N74" s="1"/>
      <c r="O74" s="1"/>
      <c r="P74" s="1"/>
    </row>
    <row r="75" ht="15.0" customHeight="1">
      <c r="A75" s="8" t="str">
        <f t="shared" si="3"/>
        <v/>
      </c>
      <c r="B75" s="1"/>
      <c r="C75" s="1"/>
      <c r="D75" s="1"/>
      <c r="E75" s="1"/>
      <c r="F75" s="1"/>
      <c r="G75" s="1"/>
      <c r="H75" s="45"/>
      <c r="I75" s="45"/>
      <c r="J75" s="46" t="str">
        <f t="shared" si="4"/>
        <v/>
      </c>
      <c r="K75" s="1"/>
      <c r="L75" s="1"/>
      <c r="M75" s="1"/>
      <c r="N75" s="1"/>
      <c r="O75" s="1"/>
      <c r="P75" s="1"/>
    </row>
    <row r="76" ht="15.0" customHeight="1">
      <c r="A76" s="8" t="str">
        <f t="shared" si="3"/>
        <v/>
      </c>
      <c r="B76" s="1"/>
      <c r="C76" s="1"/>
      <c r="D76" s="1"/>
      <c r="E76" s="1"/>
      <c r="F76" s="1"/>
      <c r="G76" s="1"/>
      <c r="H76" s="45"/>
      <c r="I76" s="45"/>
      <c r="J76" s="46" t="str">
        <f t="shared" si="4"/>
        <v/>
      </c>
      <c r="K76" s="1"/>
      <c r="L76" s="1"/>
      <c r="M76" s="1"/>
      <c r="N76" s="1"/>
      <c r="O76" s="1"/>
      <c r="P76" s="1"/>
    </row>
    <row r="77" ht="15.0" customHeight="1">
      <c r="A77" s="8" t="str">
        <f t="shared" si="3"/>
        <v/>
      </c>
      <c r="B77" s="1"/>
      <c r="C77" s="1"/>
      <c r="D77" s="1"/>
      <c r="E77" s="1"/>
      <c r="F77" s="1"/>
      <c r="G77" s="1"/>
      <c r="H77" s="45"/>
      <c r="I77" s="45"/>
      <c r="J77" s="46" t="str">
        <f t="shared" si="4"/>
        <v/>
      </c>
      <c r="K77" s="1"/>
      <c r="L77" s="1"/>
      <c r="M77" s="1"/>
      <c r="N77" s="1"/>
      <c r="O77" s="1"/>
      <c r="P77" s="1"/>
    </row>
    <row r="78" ht="15.0" customHeight="1">
      <c r="A78" s="8" t="str">
        <f t="shared" si="3"/>
        <v/>
      </c>
      <c r="B78" s="1"/>
      <c r="C78" s="1"/>
      <c r="D78" s="1"/>
      <c r="E78" s="1"/>
      <c r="F78" s="1"/>
      <c r="G78" s="1"/>
      <c r="H78" s="45"/>
      <c r="I78" s="45"/>
      <c r="J78" s="46" t="str">
        <f t="shared" si="4"/>
        <v/>
      </c>
      <c r="K78" s="1"/>
      <c r="L78" s="1"/>
      <c r="M78" s="1"/>
      <c r="N78" s="1"/>
      <c r="O78" s="1"/>
      <c r="P78" s="1"/>
    </row>
    <row r="79" ht="15.0" customHeight="1">
      <c r="A79" s="8" t="str">
        <f t="shared" si="3"/>
        <v/>
      </c>
      <c r="B79" s="1"/>
      <c r="C79" s="1"/>
      <c r="D79" s="1"/>
      <c r="E79" s="1"/>
      <c r="F79" s="1"/>
      <c r="G79" s="1"/>
      <c r="H79" s="45"/>
      <c r="I79" s="45"/>
      <c r="J79" s="46" t="str">
        <f t="shared" si="4"/>
        <v/>
      </c>
      <c r="K79" s="1"/>
      <c r="L79" s="1"/>
      <c r="M79" s="1"/>
      <c r="N79" s="1"/>
      <c r="O79" s="1"/>
      <c r="P79" s="1"/>
    </row>
    <row r="80" ht="15.0" customHeight="1">
      <c r="A80" s="8" t="str">
        <f t="shared" si="3"/>
        <v/>
      </c>
      <c r="B80" s="1"/>
      <c r="C80" s="1"/>
      <c r="D80" s="1"/>
      <c r="E80" s="1"/>
      <c r="F80" s="1"/>
      <c r="G80" s="1"/>
      <c r="H80" s="45"/>
      <c r="I80" s="45"/>
      <c r="J80" s="46" t="str">
        <f t="shared" si="4"/>
        <v/>
      </c>
      <c r="K80" s="1"/>
      <c r="L80" s="1"/>
      <c r="M80" s="1"/>
      <c r="N80" s="1"/>
      <c r="O80" s="1"/>
      <c r="P80" s="1"/>
    </row>
    <row r="81" ht="15.0" customHeight="1">
      <c r="A81" s="8" t="str">
        <f t="shared" si="3"/>
        <v/>
      </c>
      <c r="B81" s="1"/>
      <c r="C81" s="1"/>
      <c r="D81" s="1"/>
      <c r="E81" s="1"/>
      <c r="F81" s="1"/>
      <c r="G81" s="1"/>
      <c r="H81" s="45"/>
      <c r="I81" s="45"/>
      <c r="J81" s="46" t="str">
        <f t="shared" si="4"/>
        <v/>
      </c>
      <c r="K81" s="1"/>
      <c r="L81" s="1"/>
      <c r="M81" s="1"/>
      <c r="N81" s="1"/>
      <c r="O81" s="1"/>
      <c r="P81" s="1"/>
    </row>
    <row r="82" ht="15.0" customHeight="1">
      <c r="A82" s="8" t="str">
        <f t="shared" si="3"/>
        <v/>
      </c>
      <c r="B82" s="1"/>
      <c r="C82" s="1"/>
      <c r="D82" s="1"/>
      <c r="E82" s="1"/>
      <c r="F82" s="1"/>
      <c r="G82" s="1"/>
      <c r="H82" s="45"/>
      <c r="I82" s="45"/>
      <c r="J82" s="46" t="str">
        <f t="shared" si="4"/>
        <v/>
      </c>
      <c r="K82" s="1"/>
      <c r="L82" s="1"/>
      <c r="M82" s="1"/>
      <c r="N82" s="1"/>
      <c r="O82" s="1"/>
      <c r="P82" s="1"/>
    </row>
    <row r="83" ht="15.0" customHeight="1">
      <c r="A83" s="8" t="str">
        <f t="shared" si="3"/>
        <v/>
      </c>
      <c r="B83" s="1"/>
      <c r="C83" s="1"/>
      <c r="D83" s="1"/>
      <c r="E83" s="1"/>
      <c r="F83" s="1"/>
      <c r="G83" s="1"/>
      <c r="H83" s="45"/>
      <c r="I83" s="45"/>
      <c r="J83" s="46" t="str">
        <f t="shared" si="4"/>
        <v/>
      </c>
      <c r="K83" s="1"/>
      <c r="L83" s="1"/>
      <c r="M83" s="1"/>
      <c r="N83" s="1"/>
      <c r="O83" s="1"/>
      <c r="P83" s="1"/>
    </row>
    <row r="84" ht="15.0" customHeight="1">
      <c r="A84" s="8" t="str">
        <f t="shared" si="3"/>
        <v/>
      </c>
      <c r="B84" s="1"/>
      <c r="C84" s="1"/>
      <c r="D84" s="1"/>
      <c r="E84" s="1"/>
      <c r="F84" s="1"/>
      <c r="G84" s="1"/>
      <c r="H84" s="45"/>
      <c r="I84" s="45"/>
      <c r="J84" s="46" t="str">
        <f t="shared" si="4"/>
        <v/>
      </c>
      <c r="K84" s="1"/>
      <c r="L84" s="1"/>
      <c r="M84" s="1"/>
      <c r="N84" s="1"/>
      <c r="O84" s="1"/>
      <c r="P84" s="1"/>
    </row>
    <row r="85" ht="15.0" customHeight="1">
      <c r="A85" s="8" t="str">
        <f t="shared" si="3"/>
        <v/>
      </c>
      <c r="B85" s="1"/>
      <c r="C85" s="1"/>
      <c r="D85" s="1"/>
      <c r="E85" s="1"/>
      <c r="F85" s="1"/>
      <c r="G85" s="1"/>
      <c r="H85" s="45"/>
      <c r="I85" s="45"/>
      <c r="J85" s="46" t="str">
        <f t="shared" si="4"/>
        <v/>
      </c>
      <c r="K85" s="1"/>
      <c r="L85" s="1"/>
      <c r="M85" s="1"/>
      <c r="N85" s="1"/>
      <c r="O85" s="1"/>
      <c r="P85" s="1"/>
    </row>
    <row r="86" ht="15.0" customHeight="1">
      <c r="A86" s="8" t="str">
        <f t="shared" si="3"/>
        <v/>
      </c>
      <c r="B86" s="1"/>
      <c r="C86" s="1"/>
      <c r="D86" s="1"/>
      <c r="E86" s="1"/>
      <c r="F86" s="1"/>
      <c r="G86" s="1"/>
      <c r="H86" s="45"/>
      <c r="I86" s="45"/>
      <c r="J86" s="46" t="str">
        <f t="shared" si="4"/>
        <v/>
      </c>
      <c r="K86" s="1"/>
      <c r="L86" s="1"/>
      <c r="M86" s="1"/>
      <c r="N86" s="1"/>
      <c r="O86" s="1"/>
      <c r="P86" s="1"/>
    </row>
    <row r="87" ht="15.0" customHeight="1">
      <c r="A87" s="8" t="str">
        <f t="shared" si="3"/>
        <v/>
      </c>
      <c r="B87" s="1"/>
      <c r="C87" s="1"/>
      <c r="D87" s="1"/>
      <c r="E87" s="1"/>
      <c r="F87" s="1"/>
      <c r="G87" s="1"/>
      <c r="H87" s="45"/>
      <c r="I87" s="45"/>
      <c r="J87" s="46" t="str">
        <f t="shared" si="4"/>
        <v/>
      </c>
      <c r="K87" s="1"/>
      <c r="L87" s="1"/>
      <c r="M87" s="1"/>
      <c r="N87" s="1"/>
      <c r="O87" s="1"/>
      <c r="P87" s="1"/>
    </row>
    <row r="88" ht="15.0" customHeight="1">
      <c r="A88" s="8" t="str">
        <f t="shared" si="3"/>
        <v/>
      </c>
      <c r="B88" s="1"/>
      <c r="C88" s="1"/>
      <c r="D88" s="1"/>
      <c r="E88" s="1"/>
      <c r="F88" s="1"/>
      <c r="G88" s="1"/>
      <c r="H88" s="45"/>
      <c r="I88" s="45"/>
      <c r="J88" s="46" t="str">
        <f t="shared" si="4"/>
        <v/>
      </c>
      <c r="K88" s="1"/>
      <c r="L88" s="1"/>
      <c r="M88" s="1"/>
      <c r="N88" s="1"/>
      <c r="O88" s="1"/>
      <c r="P88" s="1"/>
    </row>
    <row r="89" ht="15.0" customHeight="1">
      <c r="A89" s="8" t="str">
        <f t="shared" si="3"/>
        <v/>
      </c>
      <c r="B89" s="1"/>
      <c r="C89" s="1"/>
      <c r="D89" s="1"/>
      <c r="E89" s="1"/>
      <c r="F89" s="1"/>
      <c r="G89" s="1"/>
      <c r="H89" s="45"/>
      <c r="I89" s="45"/>
      <c r="J89" s="46" t="str">
        <f t="shared" si="4"/>
        <v/>
      </c>
      <c r="K89" s="1"/>
      <c r="L89" s="1"/>
      <c r="M89" s="1"/>
      <c r="N89" s="1"/>
      <c r="O89" s="1"/>
      <c r="P89" s="1"/>
    </row>
    <row r="90" ht="15.0" customHeight="1">
      <c r="A90" s="8" t="str">
        <f t="shared" si="3"/>
        <v/>
      </c>
      <c r="B90" s="1"/>
      <c r="C90" s="1"/>
      <c r="D90" s="1"/>
      <c r="E90" s="1"/>
      <c r="F90" s="1"/>
      <c r="G90" s="1"/>
      <c r="H90" s="45"/>
      <c r="I90" s="45"/>
      <c r="J90" s="46" t="str">
        <f t="shared" si="4"/>
        <v/>
      </c>
      <c r="K90" s="1"/>
      <c r="L90" s="1"/>
      <c r="M90" s="1"/>
      <c r="N90" s="1"/>
      <c r="O90" s="1"/>
      <c r="P90" s="1"/>
    </row>
    <row r="91" ht="15.0" customHeight="1">
      <c r="A91" s="8" t="str">
        <f t="shared" si="3"/>
        <v/>
      </c>
      <c r="B91" s="1"/>
      <c r="C91" s="1"/>
      <c r="D91" s="1"/>
      <c r="E91" s="1"/>
      <c r="F91" s="1"/>
      <c r="G91" s="1"/>
      <c r="H91" s="45"/>
      <c r="I91" s="45"/>
      <c r="J91" s="46" t="str">
        <f t="shared" si="4"/>
        <v/>
      </c>
      <c r="K91" s="1"/>
      <c r="L91" s="1"/>
      <c r="M91" s="1"/>
      <c r="N91" s="1"/>
      <c r="O91" s="1"/>
      <c r="P91" s="1"/>
    </row>
    <row r="92" ht="15.0" customHeight="1">
      <c r="A92" s="8" t="str">
        <f t="shared" si="3"/>
        <v/>
      </c>
      <c r="B92" s="1"/>
      <c r="C92" s="1"/>
      <c r="D92" s="1"/>
      <c r="E92" s="1"/>
      <c r="F92" s="1"/>
      <c r="G92" s="1"/>
      <c r="H92" s="45"/>
      <c r="I92" s="45"/>
      <c r="J92" s="46" t="str">
        <f t="shared" si="4"/>
        <v/>
      </c>
      <c r="K92" s="1"/>
      <c r="L92" s="1"/>
      <c r="M92" s="1"/>
      <c r="N92" s="1"/>
      <c r="O92" s="1"/>
      <c r="P92" s="1"/>
    </row>
    <row r="93" ht="15.0" customHeight="1">
      <c r="A93" s="8" t="str">
        <f t="shared" si="3"/>
        <v/>
      </c>
      <c r="B93" s="1"/>
      <c r="C93" s="1"/>
      <c r="D93" s="1"/>
      <c r="E93" s="1"/>
      <c r="F93" s="1"/>
      <c r="G93" s="1"/>
      <c r="H93" s="45"/>
      <c r="I93" s="45"/>
      <c r="J93" s="46" t="str">
        <f t="shared" si="4"/>
        <v/>
      </c>
      <c r="K93" s="1"/>
      <c r="L93" s="1"/>
      <c r="M93" s="1"/>
      <c r="N93" s="1"/>
      <c r="O93" s="1"/>
      <c r="P93" s="1"/>
    </row>
    <row r="94" ht="15.0" customHeight="1">
      <c r="A94" s="8" t="str">
        <f t="shared" si="3"/>
        <v/>
      </c>
      <c r="B94" s="1"/>
      <c r="C94" s="1"/>
      <c r="D94" s="1"/>
      <c r="E94" s="1"/>
      <c r="F94" s="1"/>
      <c r="G94" s="1"/>
      <c r="H94" s="45"/>
      <c r="I94" s="45"/>
      <c r="J94" s="46" t="str">
        <f t="shared" si="4"/>
        <v/>
      </c>
      <c r="K94" s="1"/>
      <c r="L94" s="1"/>
      <c r="M94" s="1"/>
      <c r="N94" s="1"/>
      <c r="O94" s="1"/>
      <c r="P94" s="1"/>
    </row>
    <row r="95" ht="15.0" customHeight="1">
      <c r="A95" s="8" t="str">
        <f t="shared" si="3"/>
        <v/>
      </c>
      <c r="B95" s="1"/>
      <c r="C95" s="1"/>
      <c r="D95" s="1"/>
      <c r="E95" s="1"/>
      <c r="F95" s="1"/>
      <c r="G95" s="1"/>
      <c r="H95" s="45"/>
      <c r="I95" s="45"/>
      <c r="J95" s="46" t="str">
        <f t="shared" si="4"/>
        <v/>
      </c>
      <c r="K95" s="1"/>
      <c r="L95" s="1"/>
      <c r="M95" s="1"/>
      <c r="N95" s="1"/>
      <c r="O95" s="1"/>
      <c r="P95" s="1"/>
    </row>
    <row r="96" ht="15.0" customHeight="1">
      <c r="A96" s="8" t="str">
        <f t="shared" si="3"/>
        <v/>
      </c>
      <c r="B96" s="1"/>
      <c r="C96" s="1"/>
      <c r="D96" s="1"/>
      <c r="E96" s="1"/>
      <c r="F96" s="1"/>
      <c r="G96" s="1"/>
      <c r="H96" s="45"/>
      <c r="I96" s="45"/>
      <c r="J96" s="46" t="str">
        <f t="shared" si="4"/>
        <v/>
      </c>
      <c r="K96" s="1"/>
      <c r="L96" s="1"/>
      <c r="M96" s="1"/>
      <c r="N96" s="1"/>
      <c r="O96" s="1"/>
      <c r="P96" s="1"/>
    </row>
    <row r="97" ht="15.0" customHeight="1">
      <c r="A97" s="8" t="str">
        <f t="shared" si="3"/>
        <v/>
      </c>
      <c r="B97" s="1"/>
      <c r="C97" s="1"/>
      <c r="D97" s="1"/>
      <c r="E97" s="1"/>
      <c r="F97" s="1"/>
      <c r="G97" s="1"/>
      <c r="H97" s="45"/>
      <c r="I97" s="45"/>
      <c r="J97" s="46" t="str">
        <f t="shared" si="4"/>
        <v/>
      </c>
      <c r="K97" s="1"/>
      <c r="L97" s="1"/>
      <c r="M97" s="1"/>
      <c r="N97" s="1"/>
      <c r="O97" s="1"/>
      <c r="P97" s="1"/>
    </row>
    <row r="98" ht="15.0" customHeight="1">
      <c r="A98" s="8" t="str">
        <f t="shared" si="3"/>
        <v/>
      </c>
      <c r="B98" s="1"/>
      <c r="C98" s="1"/>
      <c r="D98" s="1"/>
      <c r="E98" s="1"/>
      <c r="F98" s="1"/>
      <c r="G98" s="1"/>
      <c r="H98" s="45"/>
      <c r="I98" s="45"/>
      <c r="J98" s="46" t="str">
        <f t="shared" si="4"/>
        <v/>
      </c>
      <c r="K98" s="1"/>
      <c r="L98" s="1"/>
      <c r="M98" s="1"/>
      <c r="N98" s="1"/>
      <c r="O98" s="1"/>
      <c r="P98" s="1"/>
    </row>
    <row r="99" ht="15.0" customHeight="1">
      <c r="A99" s="8" t="str">
        <f t="shared" si="3"/>
        <v/>
      </c>
      <c r="B99" s="1"/>
      <c r="C99" s="1"/>
      <c r="D99" s="1"/>
      <c r="E99" s="1"/>
      <c r="F99" s="1"/>
      <c r="G99" s="1"/>
      <c r="H99" s="45"/>
      <c r="I99" s="45"/>
      <c r="J99" s="46" t="str">
        <f t="shared" si="4"/>
        <v/>
      </c>
      <c r="K99" s="1"/>
      <c r="L99" s="1"/>
      <c r="M99" s="1"/>
      <c r="N99" s="1"/>
      <c r="O99" s="1"/>
      <c r="P99" s="1"/>
    </row>
    <row r="100" ht="15.0" customHeight="1">
      <c r="A100" s="8" t="str">
        <f t="shared" si="3"/>
        <v/>
      </c>
      <c r="B100" s="1"/>
      <c r="C100" s="1"/>
      <c r="D100" s="1"/>
      <c r="E100" s="1"/>
      <c r="F100" s="1"/>
      <c r="G100" s="1"/>
      <c r="H100" s="45"/>
      <c r="I100" s="45"/>
      <c r="J100" s="46" t="str">
        <f t="shared" si="4"/>
        <v/>
      </c>
      <c r="K100" s="1"/>
      <c r="L100" s="1"/>
      <c r="M100" s="1"/>
      <c r="N100" s="1"/>
      <c r="O100" s="1"/>
      <c r="P100" s="1"/>
    </row>
    <row r="101" ht="15.0" customHeight="1">
      <c r="A101" s="8" t="str">
        <f t="shared" si="3"/>
        <v/>
      </c>
      <c r="B101" s="1"/>
      <c r="C101" s="1"/>
      <c r="D101" s="1"/>
      <c r="E101" s="1"/>
      <c r="F101" s="1"/>
      <c r="G101" s="1"/>
      <c r="H101" s="45"/>
      <c r="I101" s="45"/>
      <c r="J101" s="46" t="str">
        <f t="shared" si="4"/>
        <v/>
      </c>
      <c r="K101" s="1"/>
      <c r="L101" s="1"/>
      <c r="M101" s="1"/>
      <c r="N101" s="1"/>
      <c r="O101" s="1"/>
      <c r="P101" s="1"/>
    </row>
    <row r="102" ht="15.0" customHeight="1">
      <c r="A102" s="8" t="str">
        <f t="shared" si="3"/>
        <v/>
      </c>
      <c r="B102" s="1"/>
      <c r="C102" s="1"/>
      <c r="D102" s="1"/>
      <c r="E102" s="1"/>
      <c r="F102" s="1"/>
      <c r="G102" s="1"/>
      <c r="H102" s="45"/>
      <c r="I102" s="45"/>
      <c r="J102" s="46" t="str">
        <f t="shared" si="4"/>
        <v/>
      </c>
      <c r="K102" s="1"/>
      <c r="L102" s="1"/>
      <c r="M102" s="1"/>
      <c r="N102" s="1"/>
      <c r="O102" s="1"/>
      <c r="P102" s="1"/>
    </row>
    <row r="103" ht="15.0" customHeight="1">
      <c r="A103" s="8" t="str">
        <f t="shared" si="3"/>
        <v/>
      </c>
      <c r="B103" s="1"/>
      <c r="C103" s="1"/>
      <c r="D103" s="1"/>
      <c r="E103" s="1"/>
      <c r="F103" s="1"/>
      <c r="G103" s="1"/>
      <c r="H103" s="45"/>
      <c r="I103" s="45"/>
      <c r="J103" s="46" t="str">
        <f t="shared" si="4"/>
        <v/>
      </c>
      <c r="K103" s="1"/>
      <c r="L103" s="1"/>
      <c r="M103" s="1"/>
      <c r="N103" s="1"/>
      <c r="O103" s="1"/>
      <c r="P103" s="1"/>
    </row>
    <row r="104" ht="15.0" customHeight="1">
      <c r="A104" s="8" t="str">
        <f t="shared" si="3"/>
        <v/>
      </c>
      <c r="B104" s="1"/>
      <c r="C104" s="1"/>
      <c r="D104" s="1"/>
      <c r="E104" s="1"/>
      <c r="F104" s="1"/>
      <c r="G104" s="1"/>
      <c r="H104" s="45"/>
      <c r="I104" s="45"/>
      <c r="J104" s="46" t="str">
        <f t="shared" si="4"/>
        <v/>
      </c>
      <c r="K104" s="1"/>
      <c r="L104" s="1"/>
      <c r="M104" s="1"/>
      <c r="N104" s="1"/>
      <c r="O104" s="1"/>
      <c r="P104" s="1"/>
    </row>
    <row r="105" ht="15.0" customHeight="1">
      <c r="A105" s="8" t="str">
        <f t="shared" si="3"/>
        <v/>
      </c>
      <c r="B105" s="1"/>
      <c r="C105" s="1"/>
      <c r="D105" s="1"/>
      <c r="E105" s="1"/>
      <c r="F105" s="1"/>
      <c r="G105" s="1"/>
      <c r="H105" s="45"/>
      <c r="I105" s="45"/>
      <c r="J105" s="46" t="str">
        <f t="shared" si="4"/>
        <v/>
      </c>
      <c r="K105" s="1"/>
      <c r="L105" s="1"/>
      <c r="M105" s="1"/>
      <c r="N105" s="1"/>
      <c r="O105" s="1"/>
      <c r="P105" s="1"/>
    </row>
    <row r="106" ht="15.0" customHeight="1">
      <c r="A106" s="8" t="str">
        <f t="shared" si="3"/>
        <v/>
      </c>
      <c r="B106" s="1"/>
      <c r="C106" s="1"/>
      <c r="D106" s="1"/>
      <c r="E106" s="1"/>
      <c r="F106" s="1"/>
      <c r="G106" s="1"/>
      <c r="H106" s="45"/>
      <c r="I106" s="45"/>
      <c r="J106" s="46" t="str">
        <f t="shared" si="4"/>
        <v/>
      </c>
      <c r="K106" s="1"/>
      <c r="L106" s="1"/>
      <c r="M106" s="1"/>
      <c r="N106" s="1"/>
      <c r="O106" s="1"/>
      <c r="P106" s="1"/>
    </row>
    <row r="107" ht="15.0" customHeight="1">
      <c r="A107" s="8" t="str">
        <f t="shared" si="3"/>
        <v/>
      </c>
      <c r="B107" s="1"/>
      <c r="C107" s="1"/>
      <c r="D107" s="1"/>
      <c r="E107" s="1"/>
      <c r="F107" s="1"/>
      <c r="G107" s="1"/>
      <c r="H107" s="45"/>
      <c r="I107" s="45"/>
      <c r="J107" s="46" t="str">
        <f t="shared" si="4"/>
        <v/>
      </c>
      <c r="K107" s="1"/>
      <c r="L107" s="1"/>
      <c r="M107" s="1"/>
      <c r="N107" s="1"/>
      <c r="O107" s="1"/>
      <c r="P107" s="1"/>
    </row>
    <row r="108" ht="15.0" customHeight="1">
      <c r="A108" s="8" t="str">
        <f t="shared" si="3"/>
        <v/>
      </c>
      <c r="B108" s="1"/>
      <c r="C108" s="1"/>
      <c r="D108" s="1"/>
      <c r="E108" s="1"/>
      <c r="F108" s="1"/>
      <c r="G108" s="1"/>
      <c r="H108" s="45"/>
      <c r="I108" s="45"/>
      <c r="J108" s="46" t="str">
        <f t="shared" si="4"/>
        <v/>
      </c>
      <c r="K108" s="1"/>
      <c r="L108" s="1"/>
      <c r="M108" s="1"/>
      <c r="N108" s="1"/>
      <c r="O108" s="1"/>
      <c r="P108" s="1"/>
    </row>
    <row r="109" ht="15.0" customHeight="1">
      <c r="A109" s="8" t="str">
        <f t="shared" si="3"/>
        <v/>
      </c>
      <c r="B109" s="1"/>
      <c r="C109" s="1"/>
      <c r="D109" s="1"/>
      <c r="E109" s="1"/>
      <c r="F109" s="1"/>
      <c r="G109" s="1"/>
      <c r="H109" s="45"/>
      <c r="I109" s="45"/>
      <c r="J109" s="46" t="str">
        <f t="shared" si="4"/>
        <v/>
      </c>
      <c r="K109" s="1"/>
      <c r="L109" s="1"/>
      <c r="M109" s="1"/>
      <c r="N109" s="1"/>
      <c r="O109" s="1"/>
      <c r="P109" s="1"/>
    </row>
    <row r="110" ht="15.0" customHeight="1">
      <c r="A110" s="8" t="str">
        <f t="shared" si="3"/>
        <v/>
      </c>
      <c r="B110" s="1"/>
      <c r="C110" s="1"/>
      <c r="D110" s="1"/>
      <c r="E110" s="1"/>
      <c r="F110" s="1"/>
      <c r="G110" s="1"/>
      <c r="H110" s="45"/>
      <c r="I110" s="45"/>
      <c r="J110" s="46" t="str">
        <f t="shared" si="4"/>
        <v/>
      </c>
      <c r="K110" s="1"/>
      <c r="L110" s="1"/>
      <c r="M110" s="1"/>
      <c r="N110" s="1"/>
      <c r="O110" s="1"/>
      <c r="P110" s="1"/>
    </row>
    <row r="111" ht="15.0" customHeight="1">
      <c r="A111" s="8" t="str">
        <f t="shared" si="3"/>
        <v/>
      </c>
      <c r="B111" s="1"/>
      <c r="C111" s="1"/>
      <c r="D111" s="1"/>
      <c r="E111" s="1"/>
      <c r="F111" s="1"/>
      <c r="G111" s="1"/>
      <c r="H111" s="45"/>
      <c r="I111" s="45"/>
      <c r="J111" s="46" t="str">
        <f t="shared" si="4"/>
        <v/>
      </c>
      <c r="K111" s="1"/>
      <c r="L111" s="1"/>
      <c r="M111" s="1"/>
      <c r="N111" s="1"/>
      <c r="O111" s="1"/>
      <c r="P111" s="1"/>
    </row>
    <row r="112" ht="15.0" customHeight="1">
      <c r="A112" s="8" t="str">
        <f t="shared" si="3"/>
        <v/>
      </c>
      <c r="B112" s="1"/>
      <c r="C112" s="1"/>
      <c r="D112" s="1"/>
      <c r="E112" s="1"/>
      <c r="F112" s="1"/>
      <c r="G112" s="1"/>
      <c r="H112" s="45"/>
      <c r="I112" s="45"/>
      <c r="J112" s="46" t="str">
        <f t="shared" si="4"/>
        <v/>
      </c>
      <c r="K112" s="1"/>
      <c r="L112" s="1"/>
      <c r="M112" s="1"/>
      <c r="N112" s="1"/>
      <c r="O112" s="1"/>
      <c r="P112" s="1"/>
    </row>
    <row r="113" ht="15.0" customHeight="1">
      <c r="A113" s="8" t="str">
        <f t="shared" si="3"/>
        <v/>
      </c>
      <c r="B113" s="1"/>
      <c r="C113" s="1"/>
      <c r="D113" s="1"/>
      <c r="E113" s="1"/>
      <c r="F113" s="1"/>
      <c r="G113" s="1"/>
      <c r="H113" s="45"/>
      <c r="I113" s="45"/>
      <c r="J113" s="46" t="str">
        <f t="shared" si="4"/>
        <v/>
      </c>
      <c r="K113" s="1"/>
      <c r="L113" s="1"/>
      <c r="M113" s="1"/>
      <c r="N113" s="1"/>
      <c r="O113" s="1"/>
      <c r="P113" s="1"/>
    </row>
    <row r="114" ht="15.0" customHeight="1">
      <c r="A114" s="8" t="str">
        <f t="shared" si="3"/>
        <v/>
      </c>
      <c r="B114" s="1"/>
      <c r="C114" s="1"/>
      <c r="D114" s="1"/>
      <c r="E114" s="1"/>
      <c r="F114" s="1"/>
      <c r="G114" s="1"/>
      <c r="H114" s="45"/>
      <c r="I114" s="45"/>
      <c r="J114" s="46" t="str">
        <f t="shared" si="4"/>
        <v/>
      </c>
      <c r="K114" s="1"/>
      <c r="L114" s="1"/>
      <c r="M114" s="1"/>
      <c r="N114" s="1"/>
      <c r="O114" s="1"/>
      <c r="P114" s="1"/>
    </row>
    <row r="115" ht="15.0" customHeight="1">
      <c r="A115" s="8" t="str">
        <f t="shared" si="3"/>
        <v/>
      </c>
      <c r="B115" s="1"/>
      <c r="C115" s="1"/>
      <c r="D115" s="1"/>
      <c r="E115" s="1"/>
      <c r="F115" s="1"/>
      <c r="G115" s="1"/>
      <c r="H115" s="45"/>
      <c r="I115" s="45"/>
      <c r="J115" s="46" t="str">
        <f t="shared" si="4"/>
        <v/>
      </c>
      <c r="K115" s="1"/>
      <c r="L115" s="1"/>
      <c r="M115" s="1"/>
      <c r="N115" s="1"/>
      <c r="O115" s="1"/>
      <c r="P115" s="1"/>
    </row>
    <row r="116" ht="15.0" customHeight="1">
      <c r="A116" s="8" t="str">
        <f t="shared" si="3"/>
        <v/>
      </c>
      <c r="B116" s="1"/>
      <c r="C116" s="1"/>
      <c r="D116" s="1"/>
      <c r="E116" s="1"/>
      <c r="F116" s="1"/>
      <c r="G116" s="1"/>
      <c r="H116" s="45"/>
      <c r="I116" s="45"/>
      <c r="J116" s="46" t="str">
        <f t="shared" si="4"/>
        <v/>
      </c>
      <c r="K116" s="1"/>
      <c r="L116" s="1"/>
      <c r="M116" s="1"/>
      <c r="N116" s="1"/>
      <c r="O116" s="1"/>
      <c r="P116" s="1"/>
    </row>
    <row r="117" ht="15.0" customHeight="1">
      <c r="A117" s="8" t="str">
        <f t="shared" si="3"/>
        <v/>
      </c>
      <c r="B117" s="1"/>
      <c r="C117" s="1"/>
      <c r="D117" s="1"/>
      <c r="E117" s="1"/>
      <c r="F117" s="1"/>
      <c r="G117" s="1"/>
      <c r="H117" s="45"/>
      <c r="I117" s="45"/>
      <c r="J117" s="46" t="str">
        <f t="shared" si="4"/>
        <v/>
      </c>
      <c r="K117" s="1"/>
      <c r="L117" s="1"/>
      <c r="M117" s="1"/>
      <c r="N117" s="1"/>
      <c r="O117" s="1"/>
      <c r="P117" s="1"/>
    </row>
    <row r="118" ht="15.0" customHeight="1">
      <c r="A118" s="8" t="str">
        <f t="shared" si="3"/>
        <v/>
      </c>
      <c r="B118" s="1"/>
      <c r="C118" s="1"/>
      <c r="D118" s="1"/>
      <c r="E118" s="1"/>
      <c r="F118" s="1"/>
      <c r="G118" s="1"/>
      <c r="H118" s="45"/>
      <c r="I118" s="45"/>
      <c r="J118" s="46" t="str">
        <f t="shared" si="4"/>
        <v/>
      </c>
      <c r="K118" s="1"/>
      <c r="L118" s="1"/>
      <c r="M118" s="1"/>
      <c r="N118" s="1"/>
      <c r="O118" s="1"/>
      <c r="P118" s="1"/>
    </row>
    <row r="119" ht="15.0" customHeight="1">
      <c r="A119" s="8" t="str">
        <f t="shared" si="3"/>
        <v/>
      </c>
      <c r="B119" s="1"/>
      <c r="C119" s="1"/>
      <c r="D119" s="1"/>
      <c r="E119" s="1"/>
      <c r="F119" s="1"/>
      <c r="G119" s="1"/>
      <c r="H119" s="45"/>
      <c r="I119" s="45"/>
      <c r="J119" s="46" t="str">
        <f t="shared" si="4"/>
        <v/>
      </c>
      <c r="K119" s="1"/>
      <c r="L119" s="1"/>
      <c r="M119" s="1"/>
      <c r="N119" s="1"/>
      <c r="O119" s="1"/>
      <c r="P119" s="1"/>
    </row>
    <row r="120" ht="15.0" customHeight="1">
      <c r="A120" s="8" t="str">
        <f t="shared" si="3"/>
        <v/>
      </c>
      <c r="B120" s="1"/>
      <c r="C120" s="1"/>
      <c r="D120" s="1"/>
      <c r="E120" s="1"/>
      <c r="F120" s="1"/>
      <c r="G120" s="1"/>
      <c r="H120" s="45"/>
      <c r="I120" s="45"/>
      <c r="J120" s="46" t="str">
        <f t="shared" si="4"/>
        <v/>
      </c>
      <c r="K120" s="1"/>
      <c r="L120" s="1"/>
      <c r="M120" s="1"/>
      <c r="N120" s="1"/>
      <c r="O120" s="1"/>
      <c r="P120" s="1"/>
    </row>
    <row r="121" ht="15.0" customHeight="1">
      <c r="A121" s="8" t="str">
        <f t="shared" si="3"/>
        <v/>
      </c>
      <c r="B121" s="1"/>
      <c r="C121" s="1"/>
      <c r="D121" s="1"/>
      <c r="E121" s="1"/>
      <c r="F121" s="1"/>
      <c r="G121" s="1"/>
      <c r="H121" s="45"/>
      <c r="I121" s="45"/>
      <c r="J121" s="46" t="str">
        <f t="shared" si="4"/>
        <v/>
      </c>
      <c r="K121" s="1"/>
      <c r="L121" s="1"/>
      <c r="M121" s="1"/>
      <c r="N121" s="1"/>
      <c r="O121" s="1"/>
      <c r="P121" s="1"/>
    </row>
    <row r="122" ht="15.0" customHeight="1">
      <c r="A122" s="8" t="str">
        <f t="shared" si="3"/>
        <v/>
      </c>
      <c r="B122" s="1"/>
      <c r="C122" s="1"/>
      <c r="D122" s="1"/>
      <c r="E122" s="1"/>
      <c r="F122" s="1"/>
      <c r="G122" s="1"/>
      <c r="H122" s="45"/>
      <c r="I122" s="45"/>
      <c r="J122" s="46" t="str">
        <f t="shared" si="4"/>
        <v/>
      </c>
      <c r="K122" s="1"/>
      <c r="L122" s="1"/>
      <c r="M122" s="1"/>
      <c r="N122" s="1"/>
      <c r="O122" s="1"/>
      <c r="P122" s="1"/>
    </row>
    <row r="123" ht="15.0" customHeight="1">
      <c r="A123" s="8" t="str">
        <f t="shared" si="3"/>
        <v/>
      </c>
      <c r="B123" s="1"/>
      <c r="C123" s="1"/>
      <c r="D123" s="1"/>
      <c r="E123" s="1"/>
      <c r="F123" s="1"/>
      <c r="G123" s="1"/>
      <c r="H123" s="45"/>
      <c r="I123" s="45"/>
      <c r="J123" s="46" t="str">
        <f t="shared" si="4"/>
        <v/>
      </c>
      <c r="K123" s="1"/>
      <c r="L123" s="1"/>
      <c r="M123" s="1"/>
      <c r="N123" s="1"/>
      <c r="O123" s="1"/>
      <c r="P123" s="1"/>
    </row>
    <row r="124" ht="15.0" customHeight="1">
      <c r="A124" s="8" t="str">
        <f t="shared" si="3"/>
        <v/>
      </c>
      <c r="B124" s="1"/>
      <c r="C124" s="1"/>
      <c r="D124" s="1"/>
      <c r="E124" s="1"/>
      <c r="F124" s="1"/>
      <c r="G124" s="1"/>
      <c r="H124" s="45"/>
      <c r="I124" s="45"/>
      <c r="J124" s="46" t="str">
        <f t="shared" si="4"/>
        <v/>
      </c>
      <c r="K124" s="1"/>
      <c r="L124" s="1"/>
      <c r="M124" s="1"/>
      <c r="N124" s="1"/>
      <c r="O124" s="1"/>
      <c r="P124" s="1"/>
    </row>
    <row r="125" ht="15.0" customHeight="1">
      <c r="A125" s="8" t="str">
        <f t="shared" si="3"/>
        <v/>
      </c>
      <c r="B125" s="1"/>
      <c r="C125" s="1"/>
      <c r="D125" s="1"/>
      <c r="E125" s="1"/>
      <c r="F125" s="1"/>
      <c r="G125" s="1"/>
      <c r="H125" s="45"/>
      <c r="I125" s="45"/>
      <c r="J125" s="46" t="str">
        <f t="shared" si="4"/>
        <v/>
      </c>
      <c r="K125" s="1"/>
      <c r="L125" s="1"/>
      <c r="M125" s="1"/>
      <c r="N125" s="1"/>
      <c r="O125" s="1"/>
      <c r="P125" s="1"/>
    </row>
    <row r="126" ht="15.0" customHeight="1">
      <c r="A126" s="8" t="str">
        <f t="shared" si="3"/>
        <v/>
      </c>
      <c r="B126" s="1"/>
      <c r="C126" s="1"/>
      <c r="D126" s="1"/>
      <c r="E126" s="1"/>
      <c r="F126" s="1"/>
      <c r="G126" s="1"/>
      <c r="H126" s="45"/>
      <c r="I126" s="45"/>
      <c r="J126" s="46" t="str">
        <f t="shared" si="4"/>
        <v/>
      </c>
      <c r="K126" s="1"/>
      <c r="L126" s="1"/>
      <c r="M126" s="1"/>
      <c r="N126" s="1"/>
      <c r="O126" s="1"/>
      <c r="P126" s="1"/>
    </row>
    <row r="127" ht="15.0" customHeight="1">
      <c r="A127" s="8" t="str">
        <f t="shared" si="3"/>
        <v/>
      </c>
      <c r="B127" s="1"/>
      <c r="C127" s="1"/>
      <c r="D127" s="1"/>
      <c r="E127" s="1"/>
      <c r="F127" s="1"/>
      <c r="G127" s="1"/>
      <c r="H127" s="45"/>
      <c r="I127" s="45"/>
      <c r="J127" s="46" t="str">
        <f t="shared" si="4"/>
        <v/>
      </c>
      <c r="K127" s="1"/>
      <c r="L127" s="1"/>
      <c r="M127" s="1"/>
      <c r="N127" s="1"/>
      <c r="O127" s="1"/>
      <c r="P127" s="1"/>
    </row>
    <row r="128" ht="15.0" customHeight="1">
      <c r="A128" s="8" t="str">
        <f t="shared" si="3"/>
        <v/>
      </c>
      <c r="B128" s="1"/>
      <c r="C128" s="1"/>
      <c r="D128" s="1"/>
      <c r="E128" s="1"/>
      <c r="F128" s="1"/>
      <c r="G128" s="1"/>
      <c r="H128" s="45"/>
      <c r="I128" s="45"/>
      <c r="J128" s="46" t="str">
        <f t="shared" si="4"/>
        <v/>
      </c>
      <c r="K128" s="1"/>
      <c r="L128" s="1"/>
      <c r="M128" s="1"/>
      <c r="N128" s="1"/>
      <c r="O128" s="1"/>
      <c r="P128" s="1"/>
    </row>
    <row r="129" ht="15.0" customHeight="1">
      <c r="A129" s="8" t="str">
        <f t="shared" si="3"/>
        <v/>
      </c>
      <c r="B129" s="1"/>
      <c r="C129" s="1"/>
      <c r="D129" s="1"/>
      <c r="E129" s="1"/>
      <c r="F129" s="1"/>
      <c r="G129" s="1"/>
      <c r="H129" s="45"/>
      <c r="I129" s="45"/>
      <c r="J129" s="46" t="str">
        <f t="shared" si="4"/>
        <v/>
      </c>
      <c r="K129" s="1"/>
      <c r="L129" s="1"/>
      <c r="M129" s="1"/>
      <c r="N129" s="1"/>
      <c r="O129" s="1"/>
      <c r="P129" s="1"/>
    </row>
    <row r="130" ht="15.0" customHeight="1">
      <c r="A130" s="8" t="str">
        <f t="shared" si="3"/>
        <v/>
      </c>
      <c r="B130" s="1"/>
      <c r="C130" s="1"/>
      <c r="D130" s="1"/>
      <c r="E130" s="1"/>
      <c r="F130" s="1"/>
      <c r="G130" s="1"/>
      <c r="H130" s="45"/>
      <c r="I130" s="45"/>
      <c r="J130" s="46" t="str">
        <f t="shared" si="4"/>
        <v/>
      </c>
      <c r="K130" s="1"/>
      <c r="L130" s="1"/>
      <c r="M130" s="1"/>
      <c r="N130" s="1"/>
      <c r="O130" s="1"/>
      <c r="P130" s="1"/>
    </row>
    <row r="131" ht="15.0" customHeight="1">
      <c r="A131" s="8" t="str">
        <f t="shared" si="3"/>
        <v/>
      </c>
      <c r="B131" s="1"/>
      <c r="C131" s="1"/>
      <c r="D131" s="1"/>
      <c r="E131" s="1"/>
      <c r="F131" s="1"/>
      <c r="G131" s="1"/>
      <c r="H131" s="45"/>
      <c r="I131" s="45"/>
      <c r="J131" s="46" t="str">
        <f t="shared" si="4"/>
        <v/>
      </c>
      <c r="K131" s="1"/>
      <c r="L131" s="1"/>
      <c r="M131" s="1"/>
      <c r="N131" s="1"/>
      <c r="O131" s="1"/>
      <c r="P131" s="1"/>
    </row>
    <row r="132" ht="15.0" customHeight="1">
      <c r="A132" s="8" t="str">
        <f t="shared" si="3"/>
        <v/>
      </c>
      <c r="B132" s="1"/>
      <c r="C132" s="1"/>
      <c r="D132" s="1"/>
      <c r="E132" s="1"/>
      <c r="F132" s="1"/>
      <c r="G132" s="1"/>
      <c r="H132" s="45"/>
      <c r="I132" s="45"/>
      <c r="J132" s="46" t="str">
        <f t="shared" si="4"/>
        <v/>
      </c>
      <c r="K132" s="1"/>
      <c r="L132" s="1"/>
      <c r="M132" s="1"/>
      <c r="N132" s="1"/>
      <c r="O132" s="1"/>
      <c r="P132" s="1"/>
    </row>
    <row r="133" ht="15.0" customHeight="1">
      <c r="A133" s="8" t="str">
        <f t="shared" si="3"/>
        <v/>
      </c>
      <c r="B133" s="1"/>
      <c r="C133" s="1"/>
      <c r="D133" s="1"/>
      <c r="E133" s="1"/>
      <c r="F133" s="1"/>
      <c r="G133" s="1"/>
      <c r="H133" s="45"/>
      <c r="I133" s="45"/>
      <c r="J133" s="46" t="str">
        <f t="shared" si="4"/>
        <v/>
      </c>
      <c r="K133" s="1"/>
      <c r="L133" s="1"/>
      <c r="M133" s="1"/>
      <c r="N133" s="1"/>
      <c r="O133" s="1"/>
      <c r="P133" s="1"/>
    </row>
    <row r="134" ht="15.0" customHeight="1">
      <c r="A134" s="8" t="str">
        <f t="shared" si="3"/>
        <v/>
      </c>
      <c r="B134" s="1"/>
      <c r="C134" s="1"/>
      <c r="D134" s="1"/>
      <c r="E134" s="1"/>
      <c r="F134" s="1"/>
      <c r="G134" s="1"/>
      <c r="H134" s="45"/>
      <c r="I134" s="45"/>
      <c r="J134" s="46" t="str">
        <f t="shared" si="4"/>
        <v/>
      </c>
      <c r="K134" s="1"/>
      <c r="L134" s="1"/>
      <c r="M134" s="1"/>
      <c r="N134" s="1"/>
      <c r="O134" s="1"/>
      <c r="P134" s="1"/>
    </row>
    <row r="135" ht="15.0" customHeight="1">
      <c r="A135" s="8" t="str">
        <f t="shared" si="3"/>
        <v/>
      </c>
      <c r="B135" s="1"/>
      <c r="C135" s="1"/>
      <c r="D135" s="1"/>
      <c r="E135" s="1"/>
      <c r="F135" s="1"/>
      <c r="G135" s="1"/>
      <c r="H135" s="45"/>
      <c r="I135" s="45"/>
      <c r="J135" s="46" t="str">
        <f t="shared" si="4"/>
        <v/>
      </c>
      <c r="K135" s="1"/>
      <c r="L135" s="1"/>
      <c r="M135" s="1"/>
      <c r="N135" s="1"/>
      <c r="O135" s="1"/>
      <c r="P135" s="1"/>
    </row>
    <row r="136" ht="15.0" customHeight="1">
      <c r="A136" s="8" t="str">
        <f t="shared" si="3"/>
        <v/>
      </c>
      <c r="B136" s="1"/>
      <c r="C136" s="1"/>
      <c r="D136" s="1"/>
      <c r="E136" s="1"/>
      <c r="F136" s="1"/>
      <c r="G136" s="1"/>
      <c r="H136" s="45"/>
      <c r="I136" s="45"/>
      <c r="J136" s="46" t="str">
        <f t="shared" si="4"/>
        <v/>
      </c>
      <c r="K136" s="1"/>
      <c r="L136" s="1"/>
      <c r="M136" s="1"/>
      <c r="N136" s="1"/>
      <c r="O136" s="1"/>
      <c r="P136" s="1"/>
    </row>
    <row r="137" ht="15.0" customHeight="1">
      <c r="A137" s="8" t="str">
        <f t="shared" si="3"/>
        <v/>
      </c>
      <c r="B137" s="1"/>
      <c r="C137" s="1"/>
      <c r="D137" s="1"/>
      <c r="E137" s="1"/>
      <c r="F137" s="1"/>
      <c r="G137" s="1"/>
      <c r="H137" s="45"/>
      <c r="I137" s="45"/>
      <c r="J137" s="46" t="str">
        <f t="shared" si="4"/>
        <v/>
      </c>
      <c r="K137" s="1"/>
      <c r="L137" s="1"/>
      <c r="M137" s="1"/>
      <c r="N137" s="1"/>
      <c r="O137" s="1"/>
      <c r="P137" s="1"/>
    </row>
    <row r="138" ht="15.0" customHeight="1">
      <c r="A138" s="8" t="str">
        <f t="shared" si="3"/>
        <v/>
      </c>
      <c r="B138" s="1"/>
      <c r="C138" s="1"/>
      <c r="D138" s="1"/>
      <c r="E138" s="1"/>
      <c r="F138" s="1"/>
      <c r="G138" s="1"/>
      <c r="H138" s="45"/>
      <c r="I138" s="45"/>
      <c r="J138" s="46" t="str">
        <f t="shared" si="4"/>
        <v/>
      </c>
      <c r="K138" s="1"/>
      <c r="L138" s="1"/>
      <c r="M138" s="1"/>
      <c r="N138" s="1"/>
      <c r="O138" s="1"/>
      <c r="P138" s="1"/>
    </row>
    <row r="139" ht="15.0" customHeight="1">
      <c r="A139" s="8" t="str">
        <f t="shared" si="3"/>
        <v/>
      </c>
      <c r="B139" s="1"/>
      <c r="C139" s="1"/>
      <c r="D139" s="1"/>
      <c r="E139" s="1"/>
      <c r="F139" s="1"/>
      <c r="G139" s="1"/>
      <c r="H139" s="45"/>
      <c r="I139" s="45"/>
      <c r="J139" s="46" t="str">
        <f t="shared" si="4"/>
        <v/>
      </c>
      <c r="K139" s="1"/>
      <c r="L139" s="1"/>
      <c r="M139" s="1"/>
      <c r="N139" s="1"/>
      <c r="O139" s="1"/>
      <c r="P139" s="1"/>
    </row>
    <row r="140" ht="15.0" customHeight="1">
      <c r="A140" s="8" t="str">
        <f t="shared" si="3"/>
        <v/>
      </c>
      <c r="B140" s="1"/>
      <c r="C140" s="1"/>
      <c r="D140" s="1"/>
      <c r="E140" s="1"/>
      <c r="F140" s="1"/>
      <c r="G140" s="1"/>
      <c r="H140" s="45"/>
      <c r="I140" s="45"/>
      <c r="J140" s="46" t="str">
        <f t="shared" si="4"/>
        <v/>
      </c>
      <c r="K140" s="1"/>
      <c r="L140" s="1"/>
      <c r="M140" s="1"/>
      <c r="N140" s="1"/>
      <c r="O140" s="1"/>
      <c r="P140" s="1"/>
    </row>
    <row r="141" ht="15.0" customHeight="1">
      <c r="A141" s="8" t="str">
        <f t="shared" si="3"/>
        <v/>
      </c>
      <c r="B141" s="1"/>
      <c r="C141" s="1"/>
      <c r="D141" s="1"/>
      <c r="E141" s="1"/>
      <c r="F141" s="1"/>
      <c r="G141" s="1"/>
      <c r="H141" s="45"/>
      <c r="I141" s="45"/>
      <c r="J141" s="46" t="str">
        <f t="shared" si="4"/>
        <v/>
      </c>
      <c r="K141" s="1"/>
      <c r="L141" s="1"/>
      <c r="M141" s="1"/>
      <c r="N141" s="1"/>
      <c r="O141" s="1"/>
      <c r="P141" s="1"/>
    </row>
    <row r="142" ht="15.0" customHeight="1">
      <c r="A142" s="8" t="str">
        <f t="shared" si="3"/>
        <v/>
      </c>
      <c r="B142" s="1"/>
      <c r="C142" s="1"/>
      <c r="D142" s="1"/>
      <c r="E142" s="1"/>
      <c r="F142" s="1"/>
      <c r="G142" s="1"/>
      <c r="H142" s="45"/>
      <c r="I142" s="45"/>
      <c r="J142" s="46" t="str">
        <f t="shared" si="4"/>
        <v/>
      </c>
      <c r="K142" s="1"/>
      <c r="L142" s="1"/>
      <c r="M142" s="1"/>
      <c r="N142" s="1"/>
      <c r="O142" s="1"/>
      <c r="P142" s="1"/>
    </row>
    <row r="143" ht="15.0" customHeight="1">
      <c r="A143" s="8" t="str">
        <f t="shared" si="3"/>
        <v/>
      </c>
      <c r="B143" s="1"/>
      <c r="C143" s="1"/>
      <c r="D143" s="1"/>
      <c r="E143" s="1"/>
      <c r="F143" s="1"/>
      <c r="G143" s="1"/>
      <c r="H143" s="45"/>
      <c r="I143" s="45"/>
      <c r="J143" s="46" t="str">
        <f t="shared" si="4"/>
        <v/>
      </c>
      <c r="K143" s="1"/>
      <c r="L143" s="1"/>
      <c r="M143" s="1"/>
      <c r="N143" s="1"/>
      <c r="O143" s="1"/>
      <c r="P143" s="1"/>
    </row>
    <row r="144" ht="15.0" customHeight="1">
      <c r="A144" s="8" t="str">
        <f t="shared" si="3"/>
        <v/>
      </c>
      <c r="B144" s="1"/>
      <c r="C144" s="1"/>
      <c r="D144" s="1"/>
      <c r="E144" s="1"/>
      <c r="F144" s="1"/>
      <c r="G144" s="1"/>
      <c r="H144" s="45"/>
      <c r="I144" s="45"/>
      <c r="J144" s="46" t="str">
        <f t="shared" si="4"/>
        <v/>
      </c>
      <c r="K144" s="1"/>
      <c r="L144" s="1"/>
      <c r="M144" s="1"/>
      <c r="N144" s="1"/>
      <c r="O144" s="1"/>
      <c r="P144" s="1"/>
    </row>
    <row r="145" ht="15.0" customHeight="1">
      <c r="A145" s="8" t="str">
        <f t="shared" si="3"/>
        <v/>
      </c>
      <c r="B145" s="1"/>
      <c r="C145" s="1"/>
      <c r="D145" s="1"/>
      <c r="E145" s="1"/>
      <c r="F145" s="1"/>
      <c r="G145" s="1"/>
      <c r="H145" s="45"/>
      <c r="I145" s="45"/>
      <c r="J145" s="46" t="str">
        <f t="shared" si="4"/>
        <v/>
      </c>
      <c r="K145" s="1"/>
      <c r="L145" s="1"/>
      <c r="M145" s="1"/>
      <c r="N145" s="1"/>
      <c r="O145" s="1"/>
      <c r="P145" s="1"/>
    </row>
    <row r="146" ht="15.0" customHeight="1">
      <c r="A146" s="8" t="str">
        <f t="shared" si="3"/>
        <v/>
      </c>
      <c r="B146" s="1"/>
      <c r="C146" s="1"/>
      <c r="D146" s="1"/>
      <c r="E146" s="1"/>
      <c r="F146" s="1"/>
      <c r="G146" s="1"/>
      <c r="H146" s="45"/>
      <c r="I146" s="45"/>
      <c r="J146" s="46" t="str">
        <f t="shared" si="4"/>
        <v/>
      </c>
      <c r="K146" s="1"/>
      <c r="L146" s="1"/>
      <c r="M146" s="1"/>
      <c r="N146" s="1"/>
      <c r="O146" s="1"/>
      <c r="P146" s="1"/>
    </row>
    <row r="147" ht="15.0" customHeight="1">
      <c r="A147" s="8" t="str">
        <f t="shared" si="3"/>
        <v/>
      </c>
      <c r="B147" s="1"/>
      <c r="C147" s="1"/>
      <c r="D147" s="1"/>
      <c r="E147" s="1"/>
      <c r="F147" s="1"/>
      <c r="G147" s="1"/>
      <c r="H147" s="45"/>
      <c r="I147" s="45"/>
      <c r="J147" s="46" t="str">
        <f t="shared" si="4"/>
        <v/>
      </c>
      <c r="K147" s="1"/>
      <c r="L147" s="1"/>
      <c r="M147" s="1"/>
      <c r="N147" s="1"/>
      <c r="O147" s="1"/>
      <c r="P147" s="1"/>
    </row>
    <row r="148" ht="15.0" customHeight="1">
      <c r="A148" s="8" t="str">
        <f t="shared" si="3"/>
        <v/>
      </c>
      <c r="B148" s="1"/>
      <c r="C148" s="1"/>
      <c r="D148" s="1"/>
      <c r="E148" s="1"/>
      <c r="F148" s="1"/>
      <c r="G148" s="1"/>
      <c r="H148" s="45"/>
      <c r="I148" s="45"/>
      <c r="J148" s="46" t="str">
        <f t="shared" si="4"/>
        <v/>
      </c>
      <c r="K148" s="1"/>
      <c r="L148" s="1"/>
      <c r="M148" s="1"/>
      <c r="N148" s="1"/>
      <c r="O148" s="1"/>
      <c r="P148" s="1"/>
    </row>
    <row r="149" ht="15.0" customHeight="1">
      <c r="A149" s="8" t="str">
        <f t="shared" si="3"/>
        <v/>
      </c>
      <c r="B149" s="1"/>
      <c r="C149" s="1"/>
      <c r="D149" s="1"/>
      <c r="E149" s="1"/>
      <c r="F149" s="1"/>
      <c r="G149" s="1"/>
      <c r="H149" s="45"/>
      <c r="I149" s="45"/>
      <c r="J149" s="46" t="str">
        <f t="shared" si="4"/>
        <v/>
      </c>
      <c r="K149" s="1"/>
      <c r="L149" s="1"/>
      <c r="M149" s="1"/>
      <c r="N149" s="1"/>
      <c r="O149" s="1"/>
      <c r="P149" s="1"/>
    </row>
    <row r="150" ht="15.0" customHeight="1">
      <c r="A150" s="8" t="str">
        <f t="shared" si="3"/>
        <v/>
      </c>
      <c r="B150" s="1"/>
      <c r="C150" s="1"/>
      <c r="D150" s="1"/>
      <c r="E150" s="1"/>
      <c r="F150" s="1"/>
      <c r="G150" s="1"/>
      <c r="H150" s="45"/>
      <c r="I150" s="45"/>
      <c r="J150" s="46" t="str">
        <f t="shared" si="4"/>
        <v/>
      </c>
      <c r="K150" s="1"/>
      <c r="L150" s="1"/>
      <c r="M150" s="1"/>
      <c r="N150" s="1"/>
      <c r="O150" s="1"/>
      <c r="P150" s="1"/>
    </row>
    <row r="151" ht="15.0" customHeight="1">
      <c r="A151" s="8" t="str">
        <f t="shared" si="3"/>
        <v/>
      </c>
      <c r="B151" s="1"/>
      <c r="C151" s="1"/>
      <c r="D151" s="1"/>
      <c r="E151" s="1"/>
      <c r="F151" s="1"/>
      <c r="G151" s="1"/>
      <c r="H151" s="45"/>
      <c r="I151" s="45"/>
      <c r="J151" s="46" t="str">
        <f t="shared" si="4"/>
        <v/>
      </c>
      <c r="K151" s="1"/>
      <c r="L151" s="1"/>
      <c r="M151" s="1"/>
      <c r="N151" s="1"/>
      <c r="O151" s="1"/>
      <c r="P151" s="1"/>
    </row>
    <row r="152" ht="15.0" customHeight="1">
      <c r="A152" s="8" t="str">
        <f t="shared" si="3"/>
        <v/>
      </c>
      <c r="B152" s="1"/>
      <c r="C152" s="1"/>
      <c r="D152" s="1"/>
      <c r="E152" s="1"/>
      <c r="F152" s="1"/>
      <c r="G152" s="1"/>
      <c r="H152" s="45"/>
      <c r="I152" s="45"/>
      <c r="J152" s="46" t="str">
        <f t="shared" si="4"/>
        <v/>
      </c>
      <c r="K152" s="1"/>
      <c r="L152" s="1"/>
      <c r="M152" s="1"/>
      <c r="N152" s="1"/>
      <c r="O152" s="1"/>
      <c r="P152" s="1"/>
    </row>
    <row r="153" ht="15.0" customHeight="1">
      <c r="A153" s="8" t="str">
        <f t="shared" si="3"/>
        <v/>
      </c>
      <c r="B153" s="1"/>
      <c r="C153" s="1"/>
      <c r="D153" s="1"/>
      <c r="E153" s="1"/>
      <c r="F153" s="1"/>
      <c r="G153" s="1"/>
      <c r="H153" s="45"/>
      <c r="I153" s="45"/>
      <c r="J153" s="46" t="str">
        <f t="shared" si="4"/>
        <v/>
      </c>
      <c r="K153" s="1"/>
      <c r="L153" s="1"/>
      <c r="M153" s="1"/>
      <c r="N153" s="1"/>
      <c r="O153" s="1"/>
      <c r="P153" s="1"/>
    </row>
    <row r="154" ht="15.0" customHeight="1">
      <c r="A154" s="8" t="str">
        <f t="shared" si="3"/>
        <v/>
      </c>
      <c r="B154" s="1"/>
      <c r="C154" s="1"/>
      <c r="D154" s="1"/>
      <c r="E154" s="1"/>
      <c r="F154" s="1"/>
      <c r="G154" s="1"/>
      <c r="H154" s="45"/>
      <c r="I154" s="45"/>
      <c r="J154" s="46" t="str">
        <f t="shared" si="4"/>
        <v/>
      </c>
      <c r="K154" s="1"/>
      <c r="L154" s="1"/>
      <c r="M154" s="1"/>
      <c r="N154" s="1"/>
      <c r="O154" s="1"/>
      <c r="P154" s="1"/>
    </row>
    <row r="155" ht="15.0" customHeight="1">
      <c r="A155" s="8" t="str">
        <f t="shared" si="3"/>
        <v/>
      </c>
      <c r="B155" s="1"/>
      <c r="C155" s="1"/>
      <c r="D155" s="1"/>
      <c r="E155" s="1"/>
      <c r="F155" s="1"/>
      <c r="G155" s="1"/>
      <c r="H155" s="45"/>
      <c r="I155" s="45"/>
      <c r="J155" s="46" t="str">
        <f t="shared" si="4"/>
        <v/>
      </c>
      <c r="K155" s="1"/>
      <c r="L155" s="1"/>
      <c r="M155" s="1"/>
      <c r="N155" s="1"/>
      <c r="O155" s="1"/>
      <c r="P155" s="1"/>
    </row>
    <row r="156" ht="15.0" customHeight="1">
      <c r="A156" s="8" t="str">
        <f t="shared" si="3"/>
        <v/>
      </c>
      <c r="B156" s="1"/>
      <c r="C156" s="1"/>
      <c r="D156" s="1"/>
      <c r="E156" s="1"/>
      <c r="F156" s="1"/>
      <c r="G156" s="1"/>
      <c r="H156" s="45"/>
      <c r="I156" s="45"/>
      <c r="J156" s="46" t="str">
        <f t="shared" si="4"/>
        <v/>
      </c>
      <c r="K156" s="1"/>
      <c r="L156" s="1"/>
      <c r="M156" s="1"/>
      <c r="N156" s="1"/>
      <c r="O156" s="1"/>
      <c r="P156" s="1"/>
    </row>
    <row r="157" ht="15.0" customHeight="1">
      <c r="A157" s="8" t="str">
        <f t="shared" si="3"/>
        <v/>
      </c>
      <c r="B157" s="1"/>
      <c r="C157" s="1"/>
      <c r="D157" s="1"/>
      <c r="E157" s="1"/>
      <c r="F157" s="1"/>
      <c r="G157" s="1"/>
      <c r="H157" s="45"/>
      <c r="I157" s="45"/>
      <c r="J157" s="46" t="str">
        <f t="shared" si="4"/>
        <v/>
      </c>
      <c r="K157" s="1"/>
      <c r="L157" s="1"/>
      <c r="M157" s="1"/>
      <c r="N157" s="1"/>
      <c r="O157" s="1"/>
      <c r="P157" s="1"/>
    </row>
    <row r="158" ht="15.0" customHeight="1">
      <c r="A158" s="8" t="str">
        <f t="shared" si="3"/>
        <v/>
      </c>
      <c r="B158" s="1"/>
      <c r="C158" s="1"/>
      <c r="D158" s="1"/>
      <c r="E158" s="1"/>
      <c r="F158" s="1"/>
      <c r="G158" s="1"/>
      <c r="H158" s="45"/>
      <c r="I158" s="45"/>
      <c r="J158" s="46" t="str">
        <f t="shared" si="4"/>
        <v/>
      </c>
      <c r="K158" s="1"/>
      <c r="L158" s="1"/>
      <c r="M158" s="1"/>
      <c r="N158" s="1"/>
      <c r="O158" s="1"/>
      <c r="P158" s="1"/>
    </row>
    <row r="159" ht="15.0" customHeight="1">
      <c r="A159" s="8" t="str">
        <f t="shared" si="3"/>
        <v/>
      </c>
      <c r="B159" s="1"/>
      <c r="C159" s="1"/>
      <c r="D159" s="1"/>
      <c r="E159" s="1"/>
      <c r="F159" s="1"/>
      <c r="G159" s="1"/>
      <c r="H159" s="45"/>
      <c r="I159" s="45"/>
      <c r="J159" s="46" t="str">
        <f t="shared" si="4"/>
        <v/>
      </c>
      <c r="K159" s="1"/>
      <c r="L159" s="1"/>
      <c r="M159" s="1"/>
      <c r="N159" s="1"/>
      <c r="O159" s="1"/>
      <c r="P159" s="1"/>
    </row>
    <row r="160" ht="15.0" customHeight="1">
      <c r="A160" s="8" t="str">
        <f t="shared" si="3"/>
        <v/>
      </c>
      <c r="B160" s="1"/>
      <c r="C160" s="1"/>
      <c r="D160" s="1"/>
      <c r="E160" s="1"/>
      <c r="F160" s="1"/>
      <c r="G160" s="1"/>
      <c r="H160" s="45"/>
      <c r="I160" s="45"/>
      <c r="J160" s="46" t="str">
        <f t="shared" si="4"/>
        <v/>
      </c>
      <c r="K160" s="1"/>
      <c r="L160" s="1"/>
      <c r="M160" s="1"/>
      <c r="N160" s="1"/>
      <c r="O160" s="1"/>
      <c r="P160" s="1"/>
    </row>
    <row r="161" ht="15.0" customHeight="1">
      <c r="A161" s="8" t="str">
        <f t="shared" si="3"/>
        <v/>
      </c>
      <c r="B161" s="1"/>
      <c r="C161" s="1"/>
      <c r="D161" s="1"/>
      <c r="E161" s="1"/>
      <c r="F161" s="1"/>
      <c r="G161" s="1"/>
      <c r="H161" s="45"/>
      <c r="I161" s="45"/>
      <c r="J161" s="46" t="str">
        <f t="shared" si="4"/>
        <v/>
      </c>
      <c r="K161" s="1"/>
      <c r="L161" s="1"/>
      <c r="M161" s="1"/>
      <c r="N161" s="1"/>
      <c r="O161" s="1"/>
      <c r="P161" s="1"/>
    </row>
    <row r="162" ht="15.0" customHeight="1">
      <c r="A162" s="8" t="str">
        <f t="shared" si="3"/>
        <v/>
      </c>
      <c r="B162" s="1"/>
      <c r="C162" s="1"/>
      <c r="D162" s="1"/>
      <c r="E162" s="1"/>
      <c r="F162" s="1"/>
      <c r="G162" s="1"/>
      <c r="H162" s="45"/>
      <c r="I162" s="45"/>
      <c r="J162" s="46" t="str">
        <f t="shared" si="4"/>
        <v/>
      </c>
      <c r="K162" s="1"/>
      <c r="L162" s="1"/>
      <c r="M162" s="1"/>
      <c r="N162" s="1"/>
      <c r="O162" s="1"/>
      <c r="P162" s="1"/>
    </row>
    <row r="163" ht="15.0" customHeight="1">
      <c r="A163" s="8" t="str">
        <f t="shared" si="3"/>
        <v/>
      </c>
      <c r="B163" s="1"/>
      <c r="C163" s="1"/>
      <c r="D163" s="1"/>
      <c r="E163" s="1"/>
      <c r="F163" s="1"/>
      <c r="G163" s="1"/>
      <c r="H163" s="45"/>
      <c r="I163" s="45"/>
      <c r="J163" s="46" t="str">
        <f t="shared" si="4"/>
        <v/>
      </c>
      <c r="K163" s="1"/>
      <c r="L163" s="1"/>
      <c r="M163" s="1"/>
      <c r="N163" s="1"/>
      <c r="O163" s="1"/>
      <c r="P163" s="1"/>
    </row>
    <row r="164" ht="15.0" customHeight="1">
      <c r="A164" s="8" t="str">
        <f t="shared" si="3"/>
        <v/>
      </c>
      <c r="B164" s="1"/>
      <c r="C164" s="1"/>
      <c r="D164" s="1"/>
      <c r="E164" s="1"/>
      <c r="F164" s="1"/>
      <c r="G164" s="1"/>
      <c r="H164" s="45"/>
      <c r="I164" s="45"/>
      <c r="J164" s="46" t="str">
        <f t="shared" si="4"/>
        <v/>
      </c>
      <c r="K164" s="1"/>
      <c r="L164" s="1"/>
      <c r="M164" s="1"/>
      <c r="N164" s="1"/>
      <c r="O164" s="1"/>
      <c r="P164" s="1"/>
    </row>
    <row r="165" ht="15.0" customHeight="1">
      <c r="A165" s="8" t="str">
        <f t="shared" si="3"/>
        <v/>
      </c>
      <c r="B165" s="1"/>
      <c r="C165" s="1"/>
      <c r="D165" s="1"/>
      <c r="E165" s="1"/>
      <c r="F165" s="1"/>
      <c r="G165" s="1"/>
      <c r="H165" s="45"/>
      <c r="I165" s="45"/>
      <c r="J165" s="46" t="str">
        <f t="shared" si="4"/>
        <v/>
      </c>
      <c r="K165" s="1"/>
      <c r="L165" s="1"/>
      <c r="M165" s="1"/>
      <c r="N165" s="1"/>
      <c r="O165" s="1"/>
      <c r="P165" s="1"/>
    </row>
    <row r="166" ht="15.0" customHeight="1">
      <c r="A166" s="8" t="str">
        <f t="shared" si="3"/>
        <v/>
      </c>
      <c r="B166" s="1"/>
      <c r="C166" s="1"/>
      <c r="D166" s="1"/>
      <c r="E166" s="1"/>
      <c r="F166" s="1"/>
      <c r="G166" s="1"/>
      <c r="H166" s="45"/>
      <c r="I166" s="45"/>
      <c r="J166" s="46" t="str">
        <f t="shared" si="4"/>
        <v/>
      </c>
      <c r="K166" s="1"/>
      <c r="L166" s="1"/>
      <c r="M166" s="1"/>
      <c r="N166" s="1"/>
      <c r="O166" s="1"/>
      <c r="P166" s="1"/>
    </row>
    <row r="167" ht="15.0" customHeight="1">
      <c r="A167" s="8" t="str">
        <f t="shared" si="3"/>
        <v/>
      </c>
      <c r="B167" s="1"/>
      <c r="C167" s="1"/>
      <c r="D167" s="1"/>
      <c r="E167" s="1"/>
      <c r="F167" s="1"/>
      <c r="G167" s="1"/>
      <c r="H167" s="45"/>
      <c r="I167" s="45"/>
      <c r="J167" s="46" t="str">
        <f t="shared" si="4"/>
        <v/>
      </c>
      <c r="K167" s="1"/>
      <c r="L167" s="1"/>
      <c r="M167" s="1"/>
      <c r="N167" s="1"/>
      <c r="O167" s="1"/>
      <c r="P167" s="1"/>
    </row>
    <row r="168" ht="15.0" customHeight="1">
      <c r="A168" s="8" t="str">
        <f t="shared" si="3"/>
        <v/>
      </c>
      <c r="B168" s="1"/>
      <c r="C168" s="1"/>
      <c r="D168" s="1"/>
      <c r="E168" s="1"/>
      <c r="F168" s="1"/>
      <c r="G168" s="1"/>
      <c r="H168" s="45"/>
      <c r="I168" s="45"/>
      <c r="J168" s="46" t="str">
        <f t="shared" si="4"/>
        <v/>
      </c>
      <c r="K168" s="1"/>
      <c r="L168" s="1"/>
      <c r="M168" s="1"/>
      <c r="N168" s="1"/>
      <c r="O168" s="1"/>
      <c r="P168" s="1"/>
    </row>
    <row r="169" ht="15.0" customHeight="1">
      <c r="A169" s="8" t="str">
        <f t="shared" si="3"/>
        <v/>
      </c>
      <c r="B169" s="1"/>
      <c r="C169" s="1"/>
      <c r="D169" s="1"/>
      <c r="E169" s="1"/>
      <c r="F169" s="1"/>
      <c r="G169" s="1"/>
      <c r="H169" s="45"/>
      <c r="I169" s="45"/>
      <c r="J169" s="46" t="str">
        <f t="shared" si="4"/>
        <v/>
      </c>
      <c r="K169" s="1"/>
      <c r="L169" s="1"/>
      <c r="M169" s="1"/>
      <c r="N169" s="1"/>
      <c r="O169" s="1"/>
      <c r="P169" s="1"/>
    </row>
    <row r="170" ht="15.0" customHeight="1">
      <c r="A170" s="8" t="str">
        <f t="shared" si="3"/>
        <v/>
      </c>
      <c r="B170" s="1"/>
      <c r="C170" s="1"/>
      <c r="D170" s="1"/>
      <c r="E170" s="1"/>
      <c r="F170" s="1"/>
      <c r="G170" s="1"/>
      <c r="H170" s="45"/>
      <c r="I170" s="45"/>
      <c r="J170" s="46" t="str">
        <f t="shared" si="4"/>
        <v/>
      </c>
      <c r="K170" s="1"/>
      <c r="L170" s="1"/>
      <c r="M170" s="1"/>
      <c r="N170" s="1"/>
      <c r="O170" s="1"/>
      <c r="P170" s="1"/>
    </row>
    <row r="171" ht="15.0" customHeight="1">
      <c r="A171" s="8" t="str">
        <f t="shared" si="3"/>
        <v/>
      </c>
      <c r="B171" s="1"/>
      <c r="C171" s="1"/>
      <c r="D171" s="1"/>
      <c r="E171" s="1"/>
      <c r="F171" s="1"/>
      <c r="G171" s="1"/>
      <c r="H171" s="45"/>
      <c r="I171" s="45"/>
      <c r="J171" s="46" t="str">
        <f t="shared" si="4"/>
        <v/>
      </c>
      <c r="K171" s="1"/>
      <c r="L171" s="1"/>
      <c r="M171" s="1"/>
      <c r="N171" s="1"/>
      <c r="O171" s="1"/>
      <c r="P171" s="1"/>
    </row>
    <row r="172" ht="15.0" customHeight="1">
      <c r="A172" s="8" t="str">
        <f t="shared" si="3"/>
        <v/>
      </c>
      <c r="B172" s="1"/>
      <c r="C172" s="1"/>
      <c r="D172" s="1"/>
      <c r="E172" s="1"/>
      <c r="F172" s="1"/>
      <c r="G172" s="1"/>
      <c r="H172" s="45"/>
      <c r="I172" s="45"/>
      <c r="J172" s="46" t="str">
        <f t="shared" si="4"/>
        <v/>
      </c>
      <c r="K172" s="1"/>
      <c r="L172" s="1"/>
      <c r="M172" s="1"/>
      <c r="N172" s="1"/>
      <c r="O172" s="1"/>
      <c r="P172" s="1"/>
    </row>
    <row r="173" ht="15.0" customHeight="1">
      <c r="A173" s="8" t="str">
        <f t="shared" si="3"/>
        <v/>
      </c>
      <c r="B173" s="1"/>
      <c r="C173" s="1"/>
      <c r="D173" s="1"/>
      <c r="E173" s="1"/>
      <c r="F173" s="1"/>
      <c r="G173" s="1"/>
      <c r="H173" s="45"/>
      <c r="I173" s="45"/>
      <c r="J173" s="46" t="str">
        <f t="shared" si="4"/>
        <v/>
      </c>
      <c r="K173" s="1"/>
      <c r="L173" s="1"/>
      <c r="M173" s="1"/>
      <c r="N173" s="1"/>
      <c r="O173" s="1"/>
      <c r="P173" s="1"/>
    </row>
    <row r="174" ht="15.0" customHeight="1">
      <c r="A174" s="8" t="str">
        <f t="shared" si="3"/>
        <v/>
      </c>
      <c r="B174" s="1"/>
      <c r="C174" s="1"/>
      <c r="D174" s="1"/>
      <c r="E174" s="1"/>
      <c r="F174" s="1"/>
      <c r="G174" s="1"/>
      <c r="H174" s="45"/>
      <c r="I174" s="45"/>
      <c r="J174" s="46" t="str">
        <f t="shared" si="4"/>
        <v/>
      </c>
      <c r="K174" s="1"/>
      <c r="L174" s="1"/>
      <c r="M174" s="1"/>
      <c r="N174" s="1"/>
      <c r="O174" s="1"/>
      <c r="P174" s="1"/>
    </row>
    <row r="175" ht="15.0" customHeight="1">
      <c r="A175" s="8" t="str">
        <f t="shared" si="3"/>
        <v/>
      </c>
      <c r="B175" s="1"/>
      <c r="C175" s="1"/>
      <c r="D175" s="1"/>
      <c r="E175" s="1"/>
      <c r="F175" s="1"/>
      <c r="G175" s="1"/>
      <c r="H175" s="45"/>
      <c r="I175" s="45"/>
      <c r="J175" s="46" t="str">
        <f t="shared" si="4"/>
        <v/>
      </c>
      <c r="K175" s="1"/>
      <c r="L175" s="1"/>
      <c r="M175" s="1"/>
      <c r="N175" s="1"/>
      <c r="O175" s="1"/>
      <c r="P175" s="1"/>
    </row>
    <row r="176" ht="15.0" customHeight="1">
      <c r="A176" s="8" t="str">
        <f t="shared" si="3"/>
        <v/>
      </c>
      <c r="B176" s="1"/>
      <c r="C176" s="1"/>
      <c r="D176" s="1"/>
      <c r="E176" s="1"/>
      <c r="F176" s="1"/>
      <c r="G176" s="1"/>
      <c r="H176" s="45"/>
      <c r="I176" s="45"/>
      <c r="J176" s="46" t="str">
        <f t="shared" si="4"/>
        <v/>
      </c>
      <c r="K176" s="1"/>
      <c r="L176" s="1"/>
      <c r="M176" s="1"/>
      <c r="N176" s="1"/>
      <c r="O176" s="1"/>
      <c r="P176" s="1"/>
    </row>
    <row r="177" ht="15.0" customHeight="1">
      <c r="A177" s="8" t="str">
        <f t="shared" si="3"/>
        <v/>
      </c>
      <c r="B177" s="1"/>
      <c r="C177" s="1"/>
      <c r="D177" s="1"/>
      <c r="E177" s="1"/>
      <c r="F177" s="1"/>
      <c r="G177" s="1"/>
      <c r="H177" s="45"/>
      <c r="I177" s="45"/>
      <c r="J177" s="46" t="str">
        <f t="shared" si="4"/>
        <v/>
      </c>
      <c r="K177" s="1"/>
      <c r="L177" s="1"/>
      <c r="M177" s="1"/>
      <c r="N177" s="1"/>
      <c r="O177" s="1"/>
      <c r="P177" s="1"/>
    </row>
    <row r="178" ht="15.0" customHeight="1">
      <c r="A178" s="8" t="str">
        <f t="shared" si="3"/>
        <v/>
      </c>
      <c r="B178" s="1"/>
      <c r="C178" s="1"/>
      <c r="D178" s="1"/>
      <c r="E178" s="1"/>
      <c r="F178" s="1"/>
      <c r="G178" s="1"/>
      <c r="H178" s="45"/>
      <c r="I178" s="45"/>
      <c r="J178" s="46" t="str">
        <f t="shared" si="4"/>
        <v/>
      </c>
      <c r="K178" s="1"/>
      <c r="L178" s="1"/>
      <c r="M178" s="1"/>
      <c r="N178" s="1"/>
      <c r="O178" s="1"/>
      <c r="P178" s="1"/>
    </row>
    <row r="179" ht="15.0" customHeight="1">
      <c r="A179" s="8" t="str">
        <f t="shared" si="3"/>
        <v/>
      </c>
      <c r="B179" s="1"/>
      <c r="C179" s="1"/>
      <c r="D179" s="1"/>
      <c r="E179" s="1"/>
      <c r="F179" s="1"/>
      <c r="G179" s="1"/>
      <c r="H179" s="45"/>
      <c r="I179" s="45"/>
      <c r="J179" s="46" t="str">
        <f t="shared" si="4"/>
        <v/>
      </c>
      <c r="K179" s="1"/>
      <c r="L179" s="1"/>
      <c r="M179" s="1"/>
      <c r="N179" s="1"/>
      <c r="O179" s="1"/>
      <c r="P179" s="1"/>
    </row>
    <row r="180" ht="15.0" customHeight="1">
      <c r="A180" s="8" t="str">
        <f t="shared" si="3"/>
        <v/>
      </c>
      <c r="B180" s="1"/>
      <c r="C180" s="1"/>
      <c r="D180" s="1"/>
      <c r="E180" s="1"/>
      <c r="F180" s="1"/>
      <c r="G180" s="1"/>
      <c r="H180" s="45"/>
      <c r="I180" s="45"/>
      <c r="J180" s="46" t="str">
        <f t="shared" si="4"/>
        <v/>
      </c>
      <c r="K180" s="1"/>
      <c r="L180" s="1"/>
      <c r="M180" s="1"/>
      <c r="N180" s="1"/>
      <c r="O180" s="1"/>
      <c r="P180" s="1"/>
    </row>
    <row r="181" ht="15.0" customHeight="1">
      <c r="A181" s="8" t="str">
        <f t="shared" si="3"/>
        <v/>
      </c>
      <c r="B181" s="1"/>
      <c r="C181" s="1"/>
      <c r="D181" s="1"/>
      <c r="E181" s="1"/>
      <c r="F181" s="1"/>
      <c r="G181" s="1"/>
      <c r="H181" s="45"/>
      <c r="I181" s="45"/>
      <c r="J181" s="46" t="str">
        <f t="shared" si="4"/>
        <v/>
      </c>
      <c r="K181" s="1"/>
      <c r="L181" s="1"/>
      <c r="M181" s="1"/>
      <c r="N181" s="1"/>
      <c r="O181" s="1"/>
      <c r="P181" s="1"/>
    </row>
    <row r="182" ht="15.0" customHeight="1">
      <c r="A182" s="8" t="str">
        <f t="shared" si="3"/>
        <v/>
      </c>
      <c r="B182" s="1"/>
      <c r="C182" s="1"/>
      <c r="D182" s="1"/>
      <c r="E182" s="1"/>
      <c r="F182" s="1"/>
      <c r="G182" s="1"/>
      <c r="H182" s="45"/>
      <c r="I182" s="45"/>
      <c r="J182" s="46" t="str">
        <f t="shared" si="4"/>
        <v/>
      </c>
      <c r="K182" s="1"/>
      <c r="L182" s="1"/>
      <c r="M182" s="1"/>
      <c r="N182" s="1"/>
      <c r="O182" s="1"/>
      <c r="P182" s="1"/>
    </row>
    <row r="183" ht="15.0" customHeight="1">
      <c r="A183" s="8" t="str">
        <f t="shared" si="3"/>
        <v/>
      </c>
      <c r="B183" s="1"/>
      <c r="C183" s="1"/>
      <c r="D183" s="1"/>
      <c r="E183" s="1"/>
      <c r="F183" s="1"/>
      <c r="G183" s="1"/>
      <c r="H183" s="45"/>
      <c r="I183" s="45"/>
      <c r="J183" s="46" t="str">
        <f t="shared" si="4"/>
        <v/>
      </c>
      <c r="K183" s="1"/>
      <c r="L183" s="1"/>
      <c r="M183" s="1"/>
      <c r="N183" s="1"/>
      <c r="O183" s="1"/>
      <c r="P183" s="1"/>
    </row>
    <row r="184" ht="15.0" customHeight="1">
      <c r="A184" s="8" t="str">
        <f t="shared" si="3"/>
        <v/>
      </c>
      <c r="B184" s="1"/>
      <c r="C184" s="1"/>
      <c r="D184" s="1"/>
      <c r="E184" s="1"/>
      <c r="F184" s="1"/>
      <c r="G184" s="1"/>
      <c r="H184" s="45"/>
      <c r="I184" s="45"/>
      <c r="J184" s="46" t="str">
        <f t="shared" si="4"/>
        <v/>
      </c>
      <c r="K184" s="1"/>
      <c r="L184" s="1"/>
      <c r="M184" s="1"/>
      <c r="N184" s="1"/>
      <c r="O184" s="1"/>
      <c r="P184" s="1"/>
    </row>
    <row r="185" ht="15.0" customHeight="1">
      <c r="A185" s="8" t="str">
        <f t="shared" si="3"/>
        <v/>
      </c>
      <c r="B185" s="1"/>
      <c r="C185" s="1"/>
      <c r="D185" s="1"/>
      <c r="E185" s="1"/>
      <c r="F185" s="1"/>
      <c r="G185" s="1"/>
      <c r="H185" s="45"/>
      <c r="I185" s="45"/>
      <c r="J185" s="46" t="str">
        <f t="shared" si="4"/>
        <v/>
      </c>
      <c r="K185" s="1"/>
      <c r="L185" s="1"/>
      <c r="M185" s="1"/>
      <c r="N185" s="1"/>
      <c r="O185" s="1"/>
      <c r="P185" s="1"/>
    </row>
    <row r="186" ht="15.0" customHeight="1">
      <c r="A186" s="8" t="str">
        <f t="shared" si="3"/>
        <v/>
      </c>
      <c r="B186" s="1"/>
      <c r="C186" s="1"/>
      <c r="D186" s="1"/>
      <c r="E186" s="1"/>
      <c r="F186" s="1"/>
      <c r="G186" s="1"/>
      <c r="H186" s="45"/>
      <c r="I186" s="45"/>
      <c r="J186" s="46" t="str">
        <f t="shared" si="4"/>
        <v/>
      </c>
      <c r="K186" s="1"/>
      <c r="L186" s="1"/>
      <c r="M186" s="1"/>
      <c r="N186" s="1"/>
      <c r="O186" s="1"/>
      <c r="P186" s="1"/>
    </row>
    <row r="187" ht="15.0" customHeight="1">
      <c r="A187" s="8" t="str">
        <f t="shared" si="3"/>
        <v/>
      </c>
      <c r="B187" s="1"/>
      <c r="C187" s="1"/>
      <c r="D187" s="1"/>
      <c r="E187" s="1"/>
      <c r="F187" s="1"/>
      <c r="G187" s="1"/>
      <c r="H187" s="45"/>
      <c r="I187" s="45"/>
      <c r="J187" s="46" t="str">
        <f t="shared" si="4"/>
        <v/>
      </c>
      <c r="K187" s="1"/>
      <c r="L187" s="1"/>
      <c r="M187" s="1"/>
      <c r="N187" s="1"/>
      <c r="O187" s="1"/>
      <c r="P187" s="1"/>
    </row>
    <row r="188" ht="15.0" customHeight="1">
      <c r="A188" s="8" t="str">
        <f t="shared" si="3"/>
        <v/>
      </c>
      <c r="B188" s="1"/>
      <c r="C188" s="1"/>
      <c r="D188" s="1"/>
      <c r="E188" s="1"/>
      <c r="F188" s="1"/>
      <c r="G188" s="1"/>
      <c r="H188" s="45"/>
      <c r="I188" s="45"/>
      <c r="J188" s="46" t="str">
        <f t="shared" si="4"/>
        <v/>
      </c>
      <c r="K188" s="1"/>
      <c r="L188" s="1"/>
      <c r="M188" s="1"/>
      <c r="N188" s="1"/>
      <c r="O188" s="1"/>
      <c r="P188" s="1"/>
    </row>
    <row r="189" ht="15.0" customHeight="1">
      <c r="A189" s="8" t="str">
        <f t="shared" si="3"/>
        <v/>
      </c>
      <c r="B189" s="1"/>
      <c r="C189" s="1"/>
      <c r="D189" s="1"/>
      <c r="E189" s="1"/>
      <c r="F189" s="1"/>
      <c r="G189" s="1"/>
      <c r="H189" s="45"/>
      <c r="I189" s="45"/>
      <c r="J189" s="46" t="str">
        <f t="shared" si="4"/>
        <v/>
      </c>
      <c r="K189" s="1"/>
      <c r="L189" s="1"/>
      <c r="M189" s="1"/>
      <c r="N189" s="1"/>
      <c r="O189" s="1"/>
      <c r="P189" s="1"/>
    </row>
    <row r="190" ht="15.0" customHeight="1">
      <c r="A190" s="8" t="str">
        <f t="shared" si="3"/>
        <v/>
      </c>
      <c r="B190" s="1"/>
      <c r="C190" s="1"/>
      <c r="D190" s="1"/>
      <c r="E190" s="1"/>
      <c r="F190" s="1"/>
      <c r="G190" s="1"/>
      <c r="H190" s="45"/>
      <c r="I190" s="45"/>
      <c r="J190" s="46" t="str">
        <f t="shared" si="4"/>
        <v/>
      </c>
      <c r="K190" s="1"/>
      <c r="L190" s="1"/>
      <c r="M190" s="1"/>
      <c r="N190" s="1"/>
      <c r="O190" s="1"/>
      <c r="P190" s="1"/>
    </row>
    <row r="191" ht="15.0" customHeight="1">
      <c r="A191" s="8" t="str">
        <f t="shared" si="3"/>
        <v/>
      </c>
      <c r="B191" s="1"/>
      <c r="C191" s="1"/>
      <c r="D191" s="1"/>
      <c r="E191" s="1"/>
      <c r="F191" s="1"/>
      <c r="G191" s="1"/>
      <c r="H191" s="45"/>
      <c r="I191" s="45"/>
      <c r="J191" s="46" t="str">
        <f t="shared" si="4"/>
        <v/>
      </c>
      <c r="K191" s="1"/>
      <c r="L191" s="1"/>
      <c r="M191" s="1"/>
      <c r="N191" s="1"/>
      <c r="O191" s="1"/>
      <c r="P191" s="1"/>
    </row>
    <row r="192" ht="15.0" customHeight="1">
      <c r="A192" s="8" t="str">
        <f t="shared" si="3"/>
        <v/>
      </c>
      <c r="B192" s="1"/>
      <c r="C192" s="1"/>
      <c r="D192" s="1"/>
      <c r="E192" s="1"/>
      <c r="F192" s="1"/>
      <c r="G192" s="1"/>
      <c r="H192" s="45"/>
      <c r="I192" s="45"/>
      <c r="J192" s="46" t="str">
        <f t="shared" si="4"/>
        <v/>
      </c>
      <c r="K192" s="1"/>
      <c r="L192" s="1"/>
      <c r="M192" s="1"/>
      <c r="N192" s="1"/>
      <c r="O192" s="1"/>
      <c r="P192" s="1"/>
    </row>
    <row r="193" ht="15.0" customHeight="1">
      <c r="A193" s="8" t="str">
        <f t="shared" si="3"/>
        <v/>
      </c>
      <c r="B193" s="1"/>
      <c r="C193" s="1"/>
      <c r="D193" s="1"/>
      <c r="E193" s="1"/>
      <c r="F193" s="1"/>
      <c r="G193" s="1"/>
      <c r="H193" s="45"/>
      <c r="I193" s="45"/>
      <c r="J193" s="46" t="str">
        <f t="shared" si="4"/>
        <v/>
      </c>
      <c r="K193" s="1"/>
      <c r="L193" s="1"/>
      <c r="M193" s="1"/>
      <c r="N193" s="1"/>
      <c r="O193" s="1"/>
      <c r="P193" s="1"/>
    </row>
    <row r="194" ht="15.0" customHeight="1">
      <c r="A194" s="8" t="str">
        <f t="shared" si="3"/>
        <v/>
      </c>
      <c r="B194" s="1"/>
      <c r="C194" s="1"/>
      <c r="D194" s="1"/>
      <c r="E194" s="1"/>
      <c r="F194" s="1"/>
      <c r="G194" s="1"/>
      <c r="H194" s="45"/>
      <c r="I194" s="45"/>
      <c r="J194" s="46" t="str">
        <f t="shared" si="4"/>
        <v/>
      </c>
      <c r="K194" s="1"/>
      <c r="L194" s="1"/>
      <c r="M194" s="1"/>
      <c r="N194" s="1"/>
      <c r="O194" s="1"/>
      <c r="P194" s="1"/>
    </row>
    <row r="195" ht="15.0" customHeight="1">
      <c r="A195" s="8" t="str">
        <f t="shared" si="3"/>
        <v/>
      </c>
      <c r="B195" s="1"/>
      <c r="C195" s="1"/>
      <c r="D195" s="1"/>
      <c r="E195" s="1"/>
      <c r="F195" s="1"/>
      <c r="G195" s="1"/>
      <c r="H195" s="45"/>
      <c r="I195" s="45"/>
      <c r="J195" s="46" t="str">
        <f t="shared" si="4"/>
        <v/>
      </c>
      <c r="K195" s="1"/>
      <c r="L195" s="1"/>
      <c r="M195" s="1"/>
      <c r="N195" s="1"/>
      <c r="O195" s="1"/>
      <c r="P195" s="1"/>
    </row>
    <row r="196" ht="15.0" customHeight="1">
      <c r="A196" s="8" t="str">
        <f t="shared" si="3"/>
        <v/>
      </c>
      <c r="B196" s="1"/>
      <c r="C196" s="1"/>
      <c r="D196" s="1"/>
      <c r="E196" s="1"/>
      <c r="F196" s="1"/>
      <c r="G196" s="1"/>
      <c r="H196" s="45"/>
      <c r="I196" s="45"/>
      <c r="J196" s="46" t="str">
        <f t="shared" si="4"/>
        <v/>
      </c>
      <c r="K196" s="1"/>
      <c r="L196" s="1"/>
      <c r="M196" s="1"/>
      <c r="N196" s="1"/>
      <c r="O196" s="1"/>
      <c r="P196" s="1"/>
    </row>
    <row r="197" ht="15.0" customHeight="1">
      <c r="A197" s="8" t="str">
        <f t="shared" si="3"/>
        <v/>
      </c>
      <c r="B197" s="1"/>
      <c r="C197" s="1"/>
      <c r="D197" s="1"/>
      <c r="E197" s="1"/>
      <c r="F197" s="1"/>
      <c r="G197" s="1"/>
      <c r="H197" s="45"/>
      <c r="I197" s="45"/>
      <c r="J197" s="46" t="str">
        <f t="shared" si="4"/>
        <v/>
      </c>
      <c r="K197" s="1"/>
      <c r="L197" s="1"/>
      <c r="M197" s="1"/>
      <c r="N197" s="1"/>
      <c r="O197" s="1"/>
      <c r="P197" s="1"/>
    </row>
    <row r="198" ht="15.0" customHeight="1">
      <c r="A198" s="8" t="str">
        <f t="shared" si="3"/>
        <v/>
      </c>
      <c r="B198" s="1"/>
      <c r="C198" s="1"/>
      <c r="D198" s="1"/>
      <c r="E198" s="1"/>
      <c r="F198" s="1"/>
      <c r="G198" s="1"/>
      <c r="H198" s="45"/>
      <c r="I198" s="45"/>
      <c r="J198" s="46" t="str">
        <f t="shared" si="4"/>
        <v/>
      </c>
      <c r="K198" s="1"/>
      <c r="L198" s="1"/>
      <c r="M198" s="1"/>
      <c r="N198" s="1"/>
      <c r="O198" s="1"/>
      <c r="P198" s="1"/>
    </row>
    <row r="199" ht="15.0" customHeight="1">
      <c r="A199" s="8" t="str">
        <f t="shared" si="3"/>
        <v/>
      </c>
      <c r="B199" s="1"/>
      <c r="C199" s="1"/>
      <c r="D199" s="1"/>
      <c r="E199" s="1"/>
      <c r="F199" s="1"/>
      <c r="G199" s="1"/>
      <c r="H199" s="45"/>
      <c r="I199" s="45"/>
      <c r="J199" s="46" t="str">
        <f t="shared" si="4"/>
        <v/>
      </c>
      <c r="K199" s="1"/>
      <c r="L199" s="1"/>
      <c r="M199" s="1"/>
      <c r="N199" s="1"/>
      <c r="O199" s="1"/>
      <c r="P199" s="1"/>
    </row>
    <row r="200" ht="15.0" customHeight="1">
      <c r="A200" s="8" t="str">
        <f t="shared" si="3"/>
        <v/>
      </c>
      <c r="B200" s="1"/>
      <c r="C200" s="1"/>
      <c r="D200" s="1"/>
      <c r="E200" s="1"/>
      <c r="F200" s="1"/>
      <c r="G200" s="1"/>
      <c r="H200" s="45"/>
      <c r="I200" s="45"/>
      <c r="J200" s="46" t="str">
        <f t="shared" si="4"/>
        <v/>
      </c>
      <c r="K200" s="1"/>
      <c r="L200" s="1"/>
      <c r="M200" s="1"/>
      <c r="N200" s="1"/>
      <c r="O200" s="1"/>
      <c r="P200" s="1"/>
    </row>
    <row r="201" ht="15.0" customHeight="1">
      <c r="A201" s="8" t="str">
        <f t="shared" si="3"/>
        <v/>
      </c>
      <c r="B201" s="1"/>
      <c r="C201" s="1"/>
      <c r="D201" s="1"/>
      <c r="E201" s="1"/>
      <c r="F201" s="1"/>
      <c r="G201" s="1"/>
      <c r="H201" s="45"/>
      <c r="I201" s="45"/>
      <c r="J201" s="46" t="str">
        <f t="shared" si="4"/>
        <v/>
      </c>
      <c r="K201" s="1"/>
      <c r="L201" s="1"/>
      <c r="M201" s="1"/>
      <c r="N201" s="1"/>
      <c r="O201" s="1"/>
      <c r="P201" s="1"/>
    </row>
    <row r="202" ht="15.0" customHeight="1">
      <c r="A202" s="1" t="str">
        <f t="shared" si="3"/>
        <v/>
      </c>
      <c r="B202" s="1"/>
      <c r="C202" s="1"/>
      <c r="D202" s="1"/>
      <c r="E202" s="1"/>
      <c r="F202" s="1"/>
      <c r="G202" s="1"/>
      <c r="H202" s="1"/>
      <c r="I202" s="1"/>
      <c r="J202" s="1" t="str">
        <f t="shared" si="4"/>
        <v/>
      </c>
      <c r="K202" s="1"/>
      <c r="L202" s="1"/>
      <c r="M202" s="1"/>
      <c r="N202" s="1"/>
      <c r="O202" s="1"/>
      <c r="P202" s="1"/>
    </row>
    <row r="203" ht="15.0" customHeight="1">
      <c r="A203" s="1" t="str">
        <f t="shared" si="3"/>
        <v/>
      </c>
      <c r="B203" s="1"/>
      <c r="C203" s="1"/>
      <c r="D203" s="1"/>
      <c r="E203" s="1"/>
      <c r="F203" s="1"/>
      <c r="G203" s="1"/>
      <c r="H203" s="1"/>
      <c r="I203" s="1"/>
      <c r="J203" s="1" t="str">
        <f t="shared" si="4"/>
        <v/>
      </c>
      <c r="K203" s="1"/>
      <c r="L203" s="1"/>
      <c r="M203" s="1"/>
      <c r="N203" s="1"/>
      <c r="O203" s="1"/>
      <c r="P203" s="1"/>
    </row>
    <row r="204" ht="15.0" customHeight="1">
      <c r="A204" s="1" t="str">
        <f t="shared" si="3"/>
        <v/>
      </c>
      <c r="B204" s="1"/>
      <c r="C204" s="1"/>
      <c r="D204" s="1"/>
      <c r="E204" s="1"/>
      <c r="F204" s="1"/>
      <c r="G204" s="1"/>
      <c r="H204" s="1"/>
      <c r="I204" s="1"/>
      <c r="J204" s="1" t="str">
        <f t="shared" si="4"/>
        <v/>
      </c>
      <c r="K204" s="1"/>
      <c r="L204" s="1"/>
      <c r="M204" s="1"/>
      <c r="N204" s="1"/>
      <c r="O204" s="1"/>
      <c r="P204" s="1"/>
    </row>
    <row r="205" ht="15.0" customHeight="1">
      <c r="A205" s="1" t="str">
        <f t="shared" si="3"/>
        <v/>
      </c>
      <c r="B205" s="1"/>
      <c r="C205" s="1"/>
      <c r="D205" s="1"/>
      <c r="E205" s="1"/>
      <c r="F205" s="1"/>
      <c r="G205" s="1"/>
      <c r="H205" s="1"/>
      <c r="I205" s="1"/>
      <c r="J205" s="1" t="str">
        <f t="shared" si="4"/>
        <v/>
      </c>
      <c r="K205" s="1"/>
      <c r="L205" s="1"/>
      <c r="M205" s="1"/>
      <c r="N205" s="1"/>
      <c r="O205" s="1"/>
      <c r="P205" s="1"/>
    </row>
    <row r="206" ht="15.0" customHeight="1">
      <c r="A206" s="1" t="str">
        <f t="shared" si="3"/>
        <v/>
      </c>
      <c r="B206" s="1"/>
      <c r="C206" s="1"/>
      <c r="D206" s="1"/>
      <c r="E206" s="1"/>
      <c r="F206" s="1"/>
      <c r="G206" s="1"/>
      <c r="H206" s="1"/>
      <c r="I206" s="1"/>
      <c r="J206" s="1" t="str">
        <f t="shared" si="4"/>
        <v/>
      </c>
      <c r="K206" s="1"/>
      <c r="L206" s="1"/>
      <c r="M206" s="1"/>
      <c r="N206" s="1"/>
      <c r="O206" s="1"/>
      <c r="P206" s="1"/>
    </row>
    <row r="207" ht="15.0" customHeight="1">
      <c r="A207" s="1" t="str">
        <f t="shared" si="3"/>
        <v/>
      </c>
      <c r="B207" s="1"/>
      <c r="C207" s="1"/>
      <c r="D207" s="1"/>
      <c r="E207" s="1"/>
      <c r="F207" s="1"/>
      <c r="G207" s="1"/>
      <c r="H207" s="1"/>
      <c r="I207" s="1"/>
      <c r="J207" s="1" t="str">
        <f t="shared" si="4"/>
        <v/>
      </c>
      <c r="K207" s="1"/>
      <c r="L207" s="1"/>
      <c r="M207" s="1"/>
      <c r="N207" s="1"/>
      <c r="O207" s="1"/>
      <c r="P207" s="1"/>
    </row>
    <row r="208" ht="15.0" customHeight="1">
      <c r="A208" s="1" t="str">
        <f t="shared" si="3"/>
        <v/>
      </c>
      <c r="B208" s="1"/>
      <c r="C208" s="1"/>
      <c r="D208" s="1"/>
      <c r="E208" s="1"/>
      <c r="F208" s="1"/>
      <c r="G208" s="1"/>
      <c r="H208" s="1"/>
      <c r="I208" s="1"/>
      <c r="J208" s="1" t="str">
        <f t="shared" si="4"/>
        <v/>
      </c>
      <c r="K208" s="1"/>
      <c r="L208" s="1"/>
      <c r="M208" s="1"/>
      <c r="N208" s="1"/>
      <c r="O208" s="1"/>
      <c r="P208" s="1"/>
    </row>
    <row r="209" ht="15.0" customHeight="1">
      <c r="A209" s="1" t="str">
        <f t="shared" si="3"/>
        <v/>
      </c>
      <c r="B209" s="1"/>
      <c r="C209" s="1"/>
      <c r="D209" s="1"/>
      <c r="E209" s="1"/>
      <c r="F209" s="1"/>
      <c r="G209" s="1"/>
      <c r="H209" s="1"/>
      <c r="I209" s="1"/>
      <c r="J209" s="1" t="str">
        <f t="shared" si="4"/>
        <v/>
      </c>
      <c r="K209" s="1"/>
      <c r="L209" s="1"/>
      <c r="M209" s="1"/>
      <c r="N209" s="1"/>
      <c r="O209" s="1"/>
      <c r="P209" s="1"/>
    </row>
    <row r="210" ht="15.0" customHeight="1">
      <c r="A210" s="1" t="str">
        <f t="shared" si="3"/>
        <v/>
      </c>
      <c r="B210" s="1"/>
      <c r="C210" s="1"/>
      <c r="D210" s="1"/>
      <c r="E210" s="1"/>
      <c r="F210" s="1"/>
      <c r="G210" s="1"/>
      <c r="H210" s="1"/>
      <c r="I210" s="1"/>
      <c r="J210" s="1" t="str">
        <f t="shared" si="4"/>
        <v/>
      </c>
      <c r="K210" s="1"/>
      <c r="L210" s="1"/>
      <c r="M210" s="1"/>
      <c r="N210" s="1"/>
      <c r="O210" s="1"/>
      <c r="P210" s="1"/>
    </row>
    <row r="211" ht="15.0" customHeight="1">
      <c r="A211" s="1" t="str">
        <f t="shared" si="3"/>
        <v/>
      </c>
      <c r="B211" s="1"/>
      <c r="C211" s="1"/>
      <c r="D211" s="1"/>
      <c r="E211" s="1"/>
      <c r="F211" s="1"/>
      <c r="G211" s="1"/>
      <c r="H211" s="1"/>
      <c r="I211" s="1"/>
      <c r="J211" s="1" t="str">
        <f t="shared" si="4"/>
        <v/>
      </c>
      <c r="K211" s="1"/>
      <c r="L211" s="1"/>
      <c r="M211" s="1"/>
      <c r="N211" s="1"/>
      <c r="O211" s="1"/>
      <c r="P211" s="1"/>
    </row>
    <row r="212" ht="15.0" customHeight="1">
      <c r="A212" s="1" t="str">
        <f t="shared" si="3"/>
        <v/>
      </c>
      <c r="B212" s="1"/>
      <c r="C212" s="1"/>
      <c r="D212" s="1"/>
      <c r="E212" s="1"/>
      <c r="F212" s="1"/>
      <c r="G212" s="1"/>
      <c r="H212" s="1"/>
      <c r="I212" s="1"/>
      <c r="J212" s="1" t="str">
        <f t="shared" si="4"/>
        <v/>
      </c>
      <c r="K212" s="1"/>
      <c r="L212" s="1"/>
      <c r="M212" s="1"/>
      <c r="N212" s="1"/>
      <c r="O212" s="1"/>
      <c r="P212" s="1"/>
    </row>
    <row r="213" ht="15.0" customHeight="1">
      <c r="A213" s="1" t="str">
        <f t="shared" si="3"/>
        <v/>
      </c>
      <c r="B213" s="1"/>
      <c r="C213" s="1"/>
      <c r="D213" s="1"/>
      <c r="E213" s="1"/>
      <c r="F213" s="1"/>
      <c r="G213" s="1"/>
      <c r="H213" s="1"/>
      <c r="I213" s="1"/>
      <c r="J213" s="1" t="str">
        <f t="shared" si="4"/>
        <v/>
      </c>
      <c r="K213" s="1"/>
      <c r="L213" s="1"/>
      <c r="M213" s="1"/>
      <c r="N213" s="1"/>
      <c r="O213" s="1"/>
      <c r="P213" s="1"/>
    </row>
    <row r="214" ht="15.0" customHeight="1">
      <c r="A214" s="1" t="str">
        <f t="shared" si="3"/>
        <v/>
      </c>
      <c r="B214" s="1"/>
      <c r="C214" s="1"/>
      <c r="D214" s="1"/>
      <c r="E214" s="1"/>
      <c r="F214" s="1"/>
      <c r="G214" s="1"/>
      <c r="H214" s="1"/>
      <c r="I214" s="1"/>
      <c r="J214" s="1" t="str">
        <f t="shared" si="4"/>
        <v/>
      </c>
      <c r="K214" s="1"/>
      <c r="L214" s="1"/>
      <c r="M214" s="1"/>
      <c r="N214" s="1"/>
      <c r="O214" s="1"/>
      <c r="P214" s="1"/>
    </row>
    <row r="215" ht="15.0" customHeight="1">
      <c r="A215" s="1" t="str">
        <f t="shared" si="3"/>
        <v/>
      </c>
      <c r="B215" s="1"/>
      <c r="C215" s="1"/>
      <c r="D215" s="1"/>
      <c r="E215" s="1"/>
      <c r="F215" s="1"/>
      <c r="G215" s="1"/>
      <c r="H215" s="1"/>
      <c r="I215" s="1"/>
      <c r="J215" s="1" t="str">
        <f t="shared" si="4"/>
        <v/>
      </c>
      <c r="K215" s="1"/>
      <c r="L215" s="1"/>
      <c r="M215" s="1"/>
      <c r="N215" s="1"/>
      <c r="O215" s="1"/>
      <c r="P215" s="1"/>
    </row>
    <row r="216" ht="15.0" customHeight="1">
      <c r="A216" s="1" t="str">
        <f t="shared" si="3"/>
        <v/>
      </c>
      <c r="B216" s="1"/>
      <c r="C216" s="1"/>
      <c r="D216" s="1"/>
      <c r="E216" s="1"/>
      <c r="F216" s="1"/>
      <c r="G216" s="1"/>
      <c r="H216" s="1"/>
      <c r="I216" s="1"/>
      <c r="J216" s="1" t="str">
        <f t="shared" si="4"/>
        <v/>
      </c>
      <c r="K216" s="1"/>
      <c r="L216" s="1"/>
      <c r="M216" s="1"/>
      <c r="N216" s="1"/>
      <c r="O216" s="1"/>
      <c r="P216" s="1"/>
    </row>
    <row r="217" ht="15.0" customHeight="1">
      <c r="A217" s="1" t="str">
        <f t="shared" si="3"/>
        <v/>
      </c>
      <c r="B217" s="1"/>
      <c r="C217" s="1"/>
      <c r="D217" s="1"/>
      <c r="E217" s="1"/>
      <c r="F217" s="1"/>
      <c r="G217" s="1"/>
      <c r="H217" s="1"/>
      <c r="I217" s="1"/>
      <c r="J217" s="1" t="str">
        <f t="shared" si="4"/>
        <v/>
      </c>
      <c r="K217" s="1"/>
      <c r="L217" s="1"/>
      <c r="M217" s="1"/>
      <c r="N217" s="1"/>
      <c r="O217" s="1"/>
      <c r="P217" s="1"/>
    </row>
    <row r="218" ht="15.0" customHeight="1">
      <c r="A218" s="1" t="str">
        <f t="shared" si="3"/>
        <v/>
      </c>
      <c r="B218" s="1"/>
      <c r="C218" s="1"/>
      <c r="D218" s="1"/>
      <c r="E218" s="1"/>
      <c r="F218" s="1"/>
      <c r="G218" s="1"/>
      <c r="H218" s="1"/>
      <c r="I218" s="1"/>
      <c r="J218" s="1" t="str">
        <f t="shared" si="4"/>
        <v/>
      </c>
      <c r="K218" s="1"/>
      <c r="L218" s="1"/>
      <c r="M218" s="1"/>
      <c r="N218" s="1"/>
      <c r="O218" s="1"/>
      <c r="P218" s="1"/>
    </row>
    <row r="219" ht="15.0" customHeight="1">
      <c r="A219" s="1" t="str">
        <f t="shared" si="3"/>
        <v/>
      </c>
      <c r="B219" s="1"/>
      <c r="C219" s="1"/>
      <c r="D219" s="1"/>
      <c r="E219" s="1"/>
      <c r="F219" s="1"/>
      <c r="G219" s="1"/>
      <c r="H219" s="1"/>
      <c r="I219" s="1"/>
      <c r="J219" s="1" t="str">
        <f t="shared" si="4"/>
        <v/>
      </c>
      <c r="K219" s="1"/>
      <c r="L219" s="1"/>
      <c r="M219" s="1"/>
      <c r="N219" s="1"/>
      <c r="O219" s="1"/>
      <c r="P219" s="1"/>
    </row>
    <row r="220" ht="15.0" customHeight="1">
      <c r="A220" s="1" t="str">
        <f t="shared" si="3"/>
        <v/>
      </c>
      <c r="B220" s="1"/>
      <c r="C220" s="1"/>
      <c r="D220" s="1"/>
      <c r="E220" s="1"/>
      <c r="F220" s="1"/>
      <c r="G220" s="1"/>
      <c r="H220" s="1"/>
      <c r="I220" s="1"/>
      <c r="J220" s="1" t="str">
        <f t="shared" si="4"/>
        <v/>
      </c>
      <c r="K220" s="1"/>
      <c r="L220" s="1"/>
      <c r="M220" s="1"/>
      <c r="N220" s="1"/>
      <c r="O220" s="1"/>
      <c r="P220" s="1"/>
    </row>
    <row r="221" ht="15.0" customHeight="1">
      <c r="A221" s="1" t="str">
        <f t="shared" si="3"/>
        <v/>
      </c>
      <c r="B221" s="1"/>
      <c r="C221" s="1"/>
      <c r="D221" s="1"/>
      <c r="E221" s="1"/>
      <c r="F221" s="1"/>
      <c r="G221" s="1"/>
      <c r="H221" s="1"/>
      <c r="I221" s="1"/>
      <c r="J221" s="1" t="str">
        <f t="shared" si="4"/>
        <v/>
      </c>
      <c r="K221" s="1"/>
      <c r="L221" s="1"/>
      <c r="M221" s="1"/>
      <c r="N221" s="1"/>
      <c r="O221" s="1"/>
      <c r="P221" s="1"/>
    </row>
    <row r="222" ht="15.0" customHeight="1">
      <c r="A222" s="1" t="str">
        <f t="shared" si="3"/>
        <v/>
      </c>
      <c r="B222" s="1"/>
      <c r="C222" s="1"/>
      <c r="D222" s="1"/>
      <c r="E222" s="1"/>
      <c r="F222" s="1"/>
      <c r="G222" s="1"/>
      <c r="H222" s="1"/>
      <c r="I222" s="1"/>
      <c r="J222" s="1" t="str">
        <f t="shared" si="4"/>
        <v/>
      </c>
      <c r="K222" s="1"/>
      <c r="L222" s="1"/>
      <c r="M222" s="1"/>
      <c r="N222" s="1"/>
      <c r="O222" s="1"/>
      <c r="P222" s="1"/>
    </row>
    <row r="223" ht="15.0" customHeight="1">
      <c r="A223" s="1" t="str">
        <f t="shared" si="3"/>
        <v/>
      </c>
      <c r="B223" s="1"/>
      <c r="C223" s="1"/>
      <c r="D223" s="1"/>
      <c r="E223" s="1"/>
      <c r="F223" s="1"/>
      <c r="G223" s="1"/>
      <c r="H223" s="1"/>
      <c r="I223" s="1"/>
      <c r="J223" s="1" t="str">
        <f t="shared" si="4"/>
        <v/>
      </c>
      <c r="K223" s="1"/>
      <c r="L223" s="1"/>
      <c r="M223" s="1"/>
      <c r="N223" s="1"/>
      <c r="O223" s="1"/>
      <c r="P223" s="1"/>
    </row>
    <row r="224" ht="15.0" customHeight="1">
      <c r="A224" s="1" t="str">
        <f t="shared" si="3"/>
        <v/>
      </c>
      <c r="B224" s="1"/>
      <c r="C224" s="1"/>
      <c r="D224" s="1"/>
      <c r="E224" s="1"/>
      <c r="F224" s="1"/>
      <c r="G224" s="1"/>
      <c r="H224" s="1"/>
      <c r="I224" s="1"/>
      <c r="J224" s="1" t="str">
        <f t="shared" si="4"/>
        <v/>
      </c>
      <c r="K224" s="1"/>
      <c r="L224" s="1"/>
      <c r="M224" s="1"/>
      <c r="N224" s="1"/>
      <c r="O224" s="1"/>
      <c r="P224" s="1"/>
    </row>
    <row r="225" ht="15.0" customHeight="1">
      <c r="A225" s="1" t="str">
        <f t="shared" si="3"/>
        <v/>
      </c>
      <c r="B225" s="1"/>
      <c r="C225" s="1"/>
      <c r="D225" s="1"/>
      <c r="E225" s="1"/>
      <c r="F225" s="1"/>
      <c r="G225" s="1"/>
      <c r="H225" s="1"/>
      <c r="I225" s="1"/>
      <c r="J225" s="1" t="str">
        <f t="shared" si="4"/>
        <v/>
      </c>
      <c r="K225" s="1"/>
      <c r="L225" s="1"/>
      <c r="M225" s="1"/>
      <c r="N225" s="1"/>
      <c r="O225" s="1"/>
      <c r="P225" s="1"/>
    </row>
    <row r="226" ht="15.0" customHeight="1">
      <c r="A226" s="1" t="str">
        <f t="shared" si="3"/>
        <v/>
      </c>
      <c r="B226" s="1"/>
      <c r="C226" s="1"/>
      <c r="D226" s="1"/>
      <c r="E226" s="1"/>
      <c r="F226" s="1"/>
      <c r="G226" s="1"/>
      <c r="H226" s="1"/>
      <c r="I226" s="1"/>
      <c r="J226" s="1" t="str">
        <f t="shared" si="4"/>
        <v/>
      </c>
      <c r="K226" s="1"/>
      <c r="L226" s="1"/>
      <c r="M226" s="1"/>
      <c r="N226" s="1"/>
      <c r="O226" s="1"/>
      <c r="P226" s="1"/>
    </row>
    <row r="227" ht="15.0" customHeight="1">
      <c r="A227" s="1" t="str">
        <f t="shared" si="3"/>
        <v/>
      </c>
      <c r="B227" s="1"/>
      <c r="C227" s="1"/>
      <c r="D227" s="1"/>
      <c r="E227" s="1"/>
      <c r="F227" s="1"/>
      <c r="G227" s="1"/>
      <c r="H227" s="1"/>
      <c r="I227" s="1"/>
      <c r="J227" s="1" t="str">
        <f t="shared" si="4"/>
        <v/>
      </c>
      <c r="K227" s="1"/>
      <c r="L227" s="1"/>
      <c r="M227" s="1"/>
      <c r="N227" s="1"/>
      <c r="O227" s="1"/>
      <c r="P227" s="1"/>
    </row>
    <row r="228" ht="15.0" customHeight="1">
      <c r="A228" s="1" t="str">
        <f t="shared" si="3"/>
        <v/>
      </c>
      <c r="B228" s="1"/>
      <c r="C228" s="1"/>
      <c r="D228" s="1"/>
      <c r="E228" s="1"/>
      <c r="F228" s="1"/>
      <c r="G228" s="1"/>
      <c r="H228" s="1"/>
      <c r="I228" s="1"/>
      <c r="J228" s="1" t="str">
        <f t="shared" si="4"/>
        <v/>
      </c>
      <c r="K228" s="1"/>
      <c r="L228" s="1"/>
      <c r="M228" s="1"/>
      <c r="N228" s="1"/>
      <c r="O228" s="1"/>
      <c r="P228" s="1"/>
    </row>
    <row r="229" ht="15.0" customHeight="1">
      <c r="A229" s="1" t="str">
        <f t="shared" si="3"/>
        <v/>
      </c>
      <c r="B229" s="1"/>
      <c r="C229" s="1"/>
      <c r="D229" s="1"/>
      <c r="E229" s="1"/>
      <c r="F229" s="1"/>
      <c r="G229" s="1"/>
      <c r="H229" s="1"/>
      <c r="I229" s="1"/>
      <c r="J229" s="1" t="str">
        <f t="shared" si="4"/>
        <v/>
      </c>
      <c r="K229" s="1"/>
      <c r="L229" s="1"/>
      <c r="M229" s="1"/>
      <c r="N229" s="1"/>
      <c r="O229" s="1"/>
      <c r="P229" s="1"/>
    </row>
    <row r="230" ht="15.0" customHeight="1">
      <c r="A230" s="1" t="str">
        <f t="shared" si="3"/>
        <v/>
      </c>
      <c r="B230" s="1"/>
      <c r="C230" s="1"/>
      <c r="D230" s="1"/>
      <c r="E230" s="1"/>
      <c r="F230" s="1"/>
      <c r="G230" s="1"/>
      <c r="H230" s="1"/>
      <c r="I230" s="1"/>
      <c r="J230" s="1" t="str">
        <f t="shared" si="4"/>
        <v/>
      </c>
      <c r="K230" s="1"/>
      <c r="L230" s="1"/>
      <c r="M230" s="1"/>
      <c r="N230" s="1"/>
      <c r="O230" s="1"/>
      <c r="P230" s="1"/>
    </row>
    <row r="231" ht="15.0" customHeight="1">
      <c r="A231" s="1" t="str">
        <f t="shared" si="3"/>
        <v/>
      </c>
      <c r="B231" s="1"/>
      <c r="C231" s="1"/>
      <c r="D231" s="1"/>
      <c r="E231" s="1"/>
      <c r="F231" s="1"/>
      <c r="G231" s="1"/>
      <c r="H231" s="1"/>
      <c r="I231" s="1"/>
      <c r="J231" s="1" t="str">
        <f t="shared" si="4"/>
        <v/>
      </c>
      <c r="K231" s="1"/>
      <c r="L231" s="1"/>
      <c r="M231" s="1"/>
      <c r="N231" s="1"/>
      <c r="O231" s="1"/>
      <c r="P231" s="1"/>
    </row>
    <row r="232" ht="15.0" customHeight="1">
      <c r="A232" s="1" t="str">
        <f t="shared" si="3"/>
        <v/>
      </c>
      <c r="B232" s="1"/>
      <c r="C232" s="1"/>
      <c r="D232" s="1"/>
      <c r="E232" s="1"/>
      <c r="F232" s="1"/>
      <c r="G232" s="1"/>
      <c r="H232" s="1"/>
      <c r="I232" s="1"/>
      <c r="J232" s="1" t="str">
        <f t="shared" si="4"/>
        <v/>
      </c>
      <c r="K232" s="1"/>
      <c r="L232" s="1"/>
      <c r="M232" s="1"/>
      <c r="N232" s="1"/>
      <c r="O232" s="1"/>
      <c r="P232" s="1"/>
    </row>
    <row r="233" ht="15.0" customHeight="1">
      <c r="A233" s="1" t="str">
        <f t="shared" si="3"/>
        <v/>
      </c>
      <c r="B233" s="1"/>
      <c r="C233" s="1"/>
      <c r="D233" s="1"/>
      <c r="E233" s="1"/>
      <c r="F233" s="1"/>
      <c r="G233" s="1"/>
      <c r="H233" s="1"/>
      <c r="I233" s="1"/>
      <c r="J233" s="1" t="str">
        <f t="shared" si="4"/>
        <v/>
      </c>
      <c r="K233" s="1"/>
      <c r="L233" s="1"/>
      <c r="M233" s="1"/>
      <c r="N233" s="1"/>
      <c r="O233" s="1"/>
      <c r="P233" s="1"/>
    </row>
    <row r="234" ht="15.0" customHeight="1">
      <c r="A234" s="1" t="str">
        <f t="shared" si="3"/>
        <v/>
      </c>
      <c r="B234" s="1"/>
      <c r="C234" s="1"/>
      <c r="D234" s="1"/>
      <c r="E234" s="1"/>
      <c r="F234" s="1"/>
      <c r="G234" s="1"/>
      <c r="H234" s="1"/>
      <c r="I234" s="1"/>
      <c r="J234" s="1" t="str">
        <f t="shared" si="4"/>
        <v/>
      </c>
      <c r="K234" s="1"/>
      <c r="L234" s="1"/>
      <c r="M234" s="1"/>
      <c r="N234" s="1"/>
      <c r="O234" s="1"/>
      <c r="P234" s="1"/>
    </row>
    <row r="235" ht="15.0" customHeight="1">
      <c r="A235" s="1" t="str">
        <f t="shared" si="3"/>
        <v/>
      </c>
      <c r="B235" s="1"/>
      <c r="C235" s="1"/>
      <c r="D235" s="1"/>
      <c r="E235" s="1"/>
      <c r="F235" s="1"/>
      <c r="G235" s="1"/>
      <c r="H235" s="1"/>
      <c r="I235" s="1"/>
      <c r="J235" s="1" t="str">
        <f t="shared" si="4"/>
        <v/>
      </c>
      <c r="K235" s="1"/>
      <c r="L235" s="1"/>
      <c r="M235" s="1"/>
      <c r="N235" s="1"/>
      <c r="O235" s="1"/>
      <c r="P235" s="1"/>
    </row>
    <row r="236" ht="15.0" customHeight="1">
      <c r="A236" s="1" t="str">
        <f t="shared" si="3"/>
        <v/>
      </c>
      <c r="B236" s="1"/>
      <c r="C236" s="1"/>
      <c r="D236" s="1"/>
      <c r="E236" s="1"/>
      <c r="F236" s="1"/>
      <c r="G236" s="1"/>
      <c r="H236" s="1"/>
      <c r="I236" s="1"/>
      <c r="J236" s="1" t="str">
        <f t="shared" si="4"/>
        <v/>
      </c>
      <c r="K236" s="1"/>
      <c r="L236" s="1"/>
      <c r="M236" s="1"/>
      <c r="N236" s="1"/>
      <c r="O236" s="1"/>
      <c r="P236" s="1"/>
    </row>
    <row r="237" ht="15.0" customHeight="1">
      <c r="A237" s="1" t="str">
        <f t="shared" si="3"/>
        <v/>
      </c>
      <c r="B237" s="1"/>
      <c r="C237" s="1"/>
      <c r="D237" s="1"/>
      <c r="E237" s="1"/>
      <c r="F237" s="1"/>
      <c r="G237" s="1"/>
      <c r="H237" s="1"/>
      <c r="I237" s="1"/>
      <c r="J237" s="1" t="str">
        <f t="shared" si="4"/>
        <v/>
      </c>
      <c r="K237" s="1"/>
      <c r="L237" s="1"/>
      <c r="M237" s="1"/>
      <c r="N237" s="1"/>
      <c r="O237" s="1"/>
      <c r="P237" s="1"/>
    </row>
    <row r="238" ht="15.0" customHeight="1">
      <c r="A238" s="1" t="str">
        <f t="shared" si="3"/>
        <v/>
      </c>
      <c r="B238" s="1"/>
      <c r="C238" s="1"/>
      <c r="D238" s="1"/>
      <c r="E238" s="1"/>
      <c r="F238" s="1"/>
      <c r="G238" s="1"/>
      <c r="H238" s="1"/>
      <c r="I238" s="1"/>
      <c r="J238" s="1" t="str">
        <f t="shared" si="4"/>
        <v/>
      </c>
      <c r="K238" s="1"/>
      <c r="L238" s="1"/>
      <c r="M238" s="1"/>
      <c r="N238" s="1"/>
      <c r="O238" s="1"/>
      <c r="P238" s="1"/>
    </row>
    <row r="239" ht="15.0" customHeight="1">
      <c r="A239" s="1" t="str">
        <f t="shared" si="3"/>
        <v/>
      </c>
      <c r="B239" s="1"/>
      <c r="C239" s="1"/>
      <c r="D239" s="1"/>
      <c r="E239" s="1"/>
      <c r="F239" s="1"/>
      <c r="G239" s="1"/>
      <c r="H239" s="1"/>
      <c r="I239" s="1"/>
      <c r="J239" s="1" t="str">
        <f t="shared" si="4"/>
        <v/>
      </c>
      <c r="K239" s="1"/>
      <c r="L239" s="1"/>
      <c r="M239" s="1"/>
      <c r="N239" s="1"/>
      <c r="O239" s="1"/>
      <c r="P239" s="1"/>
    </row>
    <row r="240" ht="15.0" customHeight="1">
      <c r="A240" s="1" t="str">
        <f t="shared" si="3"/>
        <v/>
      </c>
      <c r="B240" s="1"/>
      <c r="C240" s="1"/>
      <c r="D240" s="1"/>
      <c r="E240" s="1"/>
      <c r="F240" s="1"/>
      <c r="G240" s="1"/>
      <c r="H240" s="1"/>
      <c r="I240" s="1"/>
      <c r="J240" s="1" t="str">
        <f t="shared" si="4"/>
        <v/>
      </c>
      <c r="K240" s="1"/>
      <c r="L240" s="1"/>
      <c r="M240" s="1"/>
      <c r="N240" s="1"/>
      <c r="O240" s="1"/>
      <c r="P240" s="1"/>
    </row>
    <row r="241" ht="15.0" customHeight="1">
      <c r="A241" s="1" t="str">
        <f t="shared" si="3"/>
        <v/>
      </c>
      <c r="B241" s="1"/>
      <c r="C241" s="1"/>
      <c r="D241" s="1"/>
      <c r="E241" s="1"/>
      <c r="F241" s="1"/>
      <c r="G241" s="1"/>
      <c r="H241" s="1"/>
      <c r="I241" s="1"/>
      <c r="J241" s="1" t="str">
        <f t="shared" si="4"/>
        <v/>
      </c>
      <c r="K241" s="1"/>
      <c r="L241" s="1"/>
      <c r="M241" s="1"/>
      <c r="N241" s="1"/>
      <c r="O241" s="1"/>
      <c r="P241" s="1"/>
    </row>
    <row r="242" ht="15.0" customHeight="1">
      <c r="A242" s="1" t="str">
        <f t="shared" si="3"/>
        <v/>
      </c>
      <c r="B242" s="1"/>
      <c r="C242" s="1"/>
      <c r="D242" s="1"/>
      <c r="E242" s="1"/>
      <c r="F242" s="1"/>
      <c r="G242" s="1"/>
      <c r="H242" s="1"/>
      <c r="I242" s="1"/>
      <c r="J242" s="1" t="str">
        <f t="shared" si="4"/>
        <v/>
      </c>
      <c r="K242" s="1"/>
      <c r="L242" s="1"/>
      <c r="M242" s="1"/>
      <c r="N242" s="1"/>
      <c r="O242" s="1"/>
      <c r="P242" s="1"/>
    </row>
    <row r="243" ht="15.0" customHeight="1">
      <c r="A243" s="1" t="str">
        <f t="shared" si="3"/>
        <v/>
      </c>
      <c r="B243" s="1"/>
      <c r="C243" s="1"/>
      <c r="D243" s="1"/>
      <c r="E243" s="1"/>
      <c r="F243" s="1"/>
      <c r="G243" s="1"/>
      <c r="H243" s="1"/>
      <c r="I243" s="1"/>
      <c r="J243" s="1" t="str">
        <f t="shared" si="4"/>
        <v/>
      </c>
      <c r="K243" s="1"/>
      <c r="L243" s="1"/>
      <c r="M243" s="1"/>
      <c r="N243" s="1"/>
      <c r="O243" s="1"/>
      <c r="P243" s="1"/>
    </row>
    <row r="244" ht="15.0" customHeight="1">
      <c r="A244" s="1" t="str">
        <f t="shared" si="3"/>
        <v/>
      </c>
      <c r="B244" s="1"/>
      <c r="C244" s="1"/>
      <c r="D244" s="1"/>
      <c r="E244" s="1"/>
      <c r="F244" s="1"/>
      <c r="G244" s="1"/>
      <c r="H244" s="1"/>
      <c r="I244" s="1"/>
      <c r="J244" s="1" t="str">
        <f t="shared" si="4"/>
        <v/>
      </c>
      <c r="K244" s="1"/>
      <c r="L244" s="1"/>
      <c r="M244" s="1"/>
      <c r="N244" s="1"/>
      <c r="O244" s="1"/>
      <c r="P244" s="1"/>
    </row>
    <row r="245" ht="15.0" customHeight="1">
      <c r="A245" s="1" t="str">
        <f t="shared" si="3"/>
        <v/>
      </c>
      <c r="B245" s="1"/>
      <c r="C245" s="1"/>
      <c r="D245" s="1"/>
      <c r="E245" s="1"/>
      <c r="F245" s="1"/>
      <c r="G245" s="1"/>
      <c r="H245" s="1"/>
      <c r="I245" s="1"/>
      <c r="J245" s="1" t="str">
        <f t="shared" si="4"/>
        <v/>
      </c>
      <c r="K245" s="1"/>
      <c r="L245" s="1"/>
      <c r="M245" s="1"/>
      <c r="N245" s="1"/>
      <c r="O245" s="1"/>
      <c r="P245" s="1"/>
    </row>
    <row r="246" ht="15.0" customHeight="1">
      <c r="A246" s="1" t="str">
        <f t="shared" si="3"/>
        <v/>
      </c>
      <c r="B246" s="1"/>
      <c r="C246" s="1"/>
      <c r="D246" s="1"/>
      <c r="E246" s="1"/>
      <c r="F246" s="1"/>
      <c r="G246" s="1"/>
      <c r="H246" s="1"/>
      <c r="I246" s="1"/>
      <c r="J246" s="1" t="str">
        <f t="shared" si="4"/>
        <v/>
      </c>
      <c r="K246" s="1"/>
      <c r="L246" s="1"/>
      <c r="M246" s="1"/>
      <c r="N246" s="1"/>
      <c r="O246" s="1"/>
      <c r="P246" s="1"/>
    </row>
    <row r="247" ht="15.0" customHeight="1">
      <c r="A247" s="1" t="str">
        <f t="shared" si="3"/>
        <v/>
      </c>
      <c r="B247" s="1"/>
      <c r="C247" s="1"/>
      <c r="D247" s="1"/>
      <c r="E247" s="1"/>
      <c r="F247" s="1"/>
      <c r="G247" s="1"/>
      <c r="H247" s="1"/>
      <c r="I247" s="1"/>
      <c r="J247" s="1" t="str">
        <f t="shared" si="4"/>
        <v/>
      </c>
      <c r="K247" s="1"/>
      <c r="L247" s="1"/>
      <c r="M247" s="1"/>
      <c r="N247" s="1"/>
      <c r="O247" s="1"/>
      <c r="P247" s="1"/>
    </row>
    <row r="248" ht="15.0" customHeight="1">
      <c r="A248" s="1" t="str">
        <f t="shared" si="3"/>
        <v/>
      </c>
      <c r="B248" s="1"/>
      <c r="C248" s="1"/>
      <c r="D248" s="1"/>
      <c r="E248" s="1"/>
      <c r="F248" s="1"/>
      <c r="G248" s="1"/>
      <c r="H248" s="1"/>
      <c r="I248" s="1"/>
      <c r="J248" s="1" t="str">
        <f t="shared" si="4"/>
        <v/>
      </c>
      <c r="K248" s="1"/>
      <c r="L248" s="1"/>
      <c r="M248" s="1"/>
      <c r="N248" s="1"/>
      <c r="O248" s="1"/>
      <c r="P248" s="1"/>
    </row>
    <row r="249" ht="15.0" customHeight="1">
      <c r="A249" s="1" t="str">
        <f t="shared" si="3"/>
        <v/>
      </c>
      <c r="B249" s="1"/>
      <c r="C249" s="1"/>
      <c r="D249" s="1"/>
      <c r="E249" s="1"/>
      <c r="F249" s="1"/>
      <c r="G249" s="1"/>
      <c r="H249" s="1"/>
      <c r="I249" s="1"/>
      <c r="J249" s="1" t="str">
        <f t="shared" si="4"/>
        <v/>
      </c>
      <c r="K249" s="1"/>
      <c r="L249" s="1"/>
      <c r="M249" s="1"/>
      <c r="N249" s="1"/>
      <c r="O249" s="1"/>
      <c r="P249" s="1"/>
    </row>
    <row r="250" ht="15.0" customHeight="1">
      <c r="A250" s="1" t="str">
        <f t="shared" si="3"/>
        <v/>
      </c>
      <c r="B250" s="1"/>
      <c r="C250" s="1"/>
      <c r="D250" s="1"/>
      <c r="E250" s="1"/>
      <c r="F250" s="1"/>
      <c r="G250" s="1"/>
      <c r="H250" s="1"/>
      <c r="I250" s="1"/>
      <c r="J250" s="1" t="str">
        <f t="shared" si="4"/>
        <v/>
      </c>
      <c r="K250" s="1"/>
      <c r="L250" s="1"/>
      <c r="M250" s="1"/>
      <c r="N250" s="1"/>
      <c r="O250" s="1"/>
      <c r="P250" s="1"/>
    </row>
    <row r="251" ht="15.0" customHeight="1">
      <c r="A251" s="1" t="str">
        <f t="shared" si="3"/>
        <v/>
      </c>
      <c r="B251" s="1"/>
      <c r="C251" s="1"/>
      <c r="D251" s="1"/>
      <c r="E251" s="1"/>
      <c r="F251" s="1"/>
      <c r="G251" s="1"/>
      <c r="H251" s="1"/>
      <c r="I251" s="1"/>
      <c r="J251" s="1" t="str">
        <f t="shared" si="4"/>
        <v/>
      </c>
      <c r="K251" s="1"/>
      <c r="L251" s="1"/>
      <c r="M251" s="1"/>
      <c r="N251" s="1"/>
      <c r="O251" s="1"/>
      <c r="P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autoFilter ref="$A$1:$P$200"/>
  <conditionalFormatting sqref="A3:P201">
    <cfRule type="expression" dxfId="0" priority="1">
      <formula>$F3="Cerrado GANADO"</formula>
    </cfRule>
  </conditionalFormatting>
  <conditionalFormatting sqref="A3:P201">
    <cfRule type="expression" dxfId="1" priority="2">
      <formula>$F3="Contrato"</formula>
    </cfRule>
  </conditionalFormatting>
  <conditionalFormatting sqref="A3:P201">
    <cfRule type="expression" dxfId="2" priority="3">
      <formula>OR($F3="Negociación",$F3="Propuesta enviada")</formula>
    </cfRule>
  </conditionalFormatting>
  <conditionalFormatting sqref="A3:P201">
    <cfRule type="expression" dxfId="3" priority="4">
      <formula>$F3="Cerrado PERDIDO"</formula>
    </cfRule>
  </conditionalFormatting>
  <dataValidations>
    <dataValidation type="list" allowBlank="1" sqref="K3:L201">
      <formula1>"Jul 2026,Ago 2026,Sep 2026,Oct 2026,Nov 2026,Dic 2026,Ene 2027"</formula1>
    </dataValidation>
    <dataValidation type="list" allowBlank="1" sqref="F3:F201">
      <formula1>CATALOGOS!$I$2:$I$6</formula1>
    </dataValidation>
    <dataValidation type="list" allowBlank="1" sqref="G3:G201">
      <formula1>CATALOGOS!$J$2:$J$5</formula1>
    </dataValidation>
    <dataValidation type="list" allowBlank="1" sqref="M3:M201">
      <formula1>CATALOGOS!$H$2:$H$5</formula1>
    </dataValidation>
    <dataValidation type="list" allowBlank="1" sqref="D3:D201">
      <formula1>CATALOGOS!$G$2:$G$16</formula1>
    </dataValidation>
    <dataValidation type="list" allowBlank="1" sqref="C3:C201">
      <formula1>CATALOGOS!$F$2:$F$6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40.0"/>
    <col customWidth="1" min="4" max="4" width="16.0"/>
    <col customWidth="1" min="5" max="5" width="14.0"/>
    <col customWidth="1" min="6" max="6" width="16.0"/>
    <col customWidth="1" min="7" max="7" width="14.0"/>
    <col customWidth="1" min="8" max="8" width="20.0"/>
    <col customWidth="1" min="9" max="9" width="16.0"/>
    <col customWidth="1" min="10" max="10" width="22.0"/>
    <col customWidth="1" min="11" max="11" width="46.0"/>
    <col customWidth="1" min="12" max="21" width="8.71"/>
    <col customWidth="1" min="22" max="25" width="19.43"/>
    <col customWidth="1" min="26" max="35" width="8.71"/>
  </cols>
  <sheetData>
    <row r="1" ht="27.75" customHeight="1">
      <c r="A1" s="23" t="s">
        <v>4</v>
      </c>
      <c r="B1" s="23" t="s">
        <v>329</v>
      </c>
      <c r="C1" s="23" t="s">
        <v>330</v>
      </c>
      <c r="D1" s="23" t="s">
        <v>331</v>
      </c>
      <c r="E1" s="23" t="s">
        <v>332</v>
      </c>
      <c r="F1" s="23" t="s">
        <v>333</v>
      </c>
      <c r="G1" s="23" t="s">
        <v>334</v>
      </c>
      <c r="H1" s="23" t="s">
        <v>335</v>
      </c>
      <c r="I1" s="23" t="s">
        <v>336</v>
      </c>
      <c r="J1" s="23" t="s">
        <v>337</v>
      </c>
      <c r="K1" s="23" t="s">
        <v>338</v>
      </c>
      <c r="V1" s="47" t="s">
        <v>339</v>
      </c>
      <c r="W1" s="47" t="s">
        <v>340</v>
      </c>
      <c r="X1" s="47" t="s">
        <v>341</v>
      </c>
      <c r="Y1" s="47" t="s">
        <v>342</v>
      </c>
      <c r="Z1" s="3" t="s">
        <v>343</v>
      </c>
      <c r="AA1" s="3" t="s">
        <v>344</v>
      </c>
      <c r="AB1" s="3" t="s">
        <v>345</v>
      </c>
      <c r="AC1" s="3" t="s">
        <v>346</v>
      </c>
      <c r="AD1" s="3" t="s">
        <v>347</v>
      </c>
      <c r="AE1" s="3" t="s">
        <v>348</v>
      </c>
      <c r="AF1" s="3" t="s">
        <v>349</v>
      </c>
      <c r="AG1" s="3" t="s">
        <v>350</v>
      </c>
      <c r="AH1" s="3" t="s">
        <v>27</v>
      </c>
      <c r="AI1" s="3" t="s">
        <v>351</v>
      </c>
    </row>
    <row r="2" ht="34.5" customHeight="1">
      <c r="A2" s="40" t="s">
        <v>71</v>
      </c>
      <c r="B2" s="40" t="s">
        <v>352</v>
      </c>
      <c r="C2" s="41" t="s">
        <v>353</v>
      </c>
      <c r="D2" s="40" t="s">
        <v>354</v>
      </c>
      <c r="E2" s="40" t="s">
        <v>256</v>
      </c>
      <c r="F2" s="40" t="s">
        <v>256</v>
      </c>
      <c r="G2" s="40" t="s">
        <v>256</v>
      </c>
      <c r="H2" s="40" t="s">
        <v>256</v>
      </c>
      <c r="I2" s="40" t="s">
        <v>355</v>
      </c>
      <c r="J2" s="40" t="s">
        <v>356</v>
      </c>
      <c r="K2" s="41" t="s">
        <v>357</v>
      </c>
      <c r="W2" s="48"/>
      <c r="X2" s="48"/>
      <c r="Y2" s="48"/>
    </row>
    <row r="3" ht="23.25" customHeight="1">
      <c r="A3" s="49" t="s">
        <v>196</v>
      </c>
      <c r="B3" s="40" t="s">
        <v>358</v>
      </c>
      <c r="C3" s="41" t="s">
        <v>359</v>
      </c>
      <c r="D3" s="40" t="s">
        <v>354</v>
      </c>
      <c r="E3" s="40">
        <v>958000.0</v>
      </c>
      <c r="F3" s="40">
        <v>1100000.0</v>
      </c>
      <c r="G3" s="40">
        <v>23300.0</v>
      </c>
      <c r="H3" s="40" t="s">
        <v>360</v>
      </c>
      <c r="I3" s="50" t="s">
        <v>361</v>
      </c>
      <c r="J3" s="40" t="s">
        <v>356</v>
      </c>
      <c r="K3" s="41" t="s">
        <v>362</v>
      </c>
      <c r="W3" s="48"/>
      <c r="X3" s="51" t="s">
        <v>363</v>
      </c>
      <c r="Y3" s="48"/>
    </row>
    <row r="4" ht="15.0" customHeight="1">
      <c r="A4" s="40" t="s">
        <v>78</v>
      </c>
      <c r="B4" s="40" t="s">
        <v>364</v>
      </c>
      <c r="C4" s="41" t="s">
        <v>365</v>
      </c>
      <c r="D4" s="40" t="s">
        <v>354</v>
      </c>
      <c r="E4" s="40" t="s">
        <v>256</v>
      </c>
      <c r="F4" s="40" t="s">
        <v>256</v>
      </c>
      <c r="G4" s="40" t="s">
        <v>256</v>
      </c>
      <c r="H4" s="40" t="s">
        <v>256</v>
      </c>
      <c r="I4" s="40" t="s">
        <v>355</v>
      </c>
      <c r="J4" s="40" t="s">
        <v>356</v>
      </c>
      <c r="K4" s="41" t="s">
        <v>366</v>
      </c>
      <c r="W4" s="48"/>
      <c r="X4" s="48"/>
      <c r="Y4" s="48"/>
    </row>
    <row r="5" ht="15.0" customHeight="1">
      <c r="A5" s="40" t="s">
        <v>51</v>
      </c>
      <c r="B5" s="40" t="s">
        <v>367</v>
      </c>
      <c r="C5" s="41" t="s">
        <v>368</v>
      </c>
      <c r="D5" s="40" t="s">
        <v>354</v>
      </c>
      <c r="E5" s="40" t="s">
        <v>256</v>
      </c>
      <c r="F5" s="40" t="s">
        <v>256</v>
      </c>
      <c r="G5" s="40" t="s">
        <v>256</v>
      </c>
      <c r="H5" s="40" t="s">
        <v>256</v>
      </c>
      <c r="I5" s="40" t="s">
        <v>355</v>
      </c>
      <c r="J5" s="40" t="s">
        <v>369</v>
      </c>
      <c r="K5" s="41" t="s">
        <v>370</v>
      </c>
      <c r="W5" s="48"/>
      <c r="X5" s="48"/>
      <c r="Y5" s="48"/>
    </row>
    <row r="6" ht="23.25" customHeight="1">
      <c r="A6" s="40" t="s">
        <v>60</v>
      </c>
      <c r="B6" s="40" t="s">
        <v>371</v>
      </c>
      <c r="C6" s="41" t="s">
        <v>372</v>
      </c>
      <c r="D6" s="40" t="s">
        <v>373</v>
      </c>
      <c r="E6" s="40" t="s">
        <v>256</v>
      </c>
      <c r="F6" s="40" t="s">
        <v>256</v>
      </c>
      <c r="G6" s="40" t="s">
        <v>256</v>
      </c>
      <c r="H6" s="40" t="s">
        <v>256</v>
      </c>
      <c r="I6" s="40" t="s">
        <v>355</v>
      </c>
      <c r="J6" s="40" t="s">
        <v>369</v>
      </c>
      <c r="K6" s="41" t="s">
        <v>374</v>
      </c>
      <c r="W6" s="48"/>
      <c r="X6" s="48"/>
      <c r="Y6" s="48"/>
    </row>
    <row r="7" ht="23.25" customHeight="1">
      <c r="A7" s="40" t="s">
        <v>86</v>
      </c>
      <c r="B7" s="40" t="s">
        <v>375</v>
      </c>
      <c r="C7" s="41" t="s">
        <v>376</v>
      </c>
      <c r="D7" s="40" t="s">
        <v>377</v>
      </c>
      <c r="E7" s="40" t="s">
        <v>256</v>
      </c>
      <c r="F7" s="40" t="s">
        <v>256</v>
      </c>
      <c r="G7" s="40" t="s">
        <v>256</v>
      </c>
      <c r="H7" s="40" t="s">
        <v>256</v>
      </c>
      <c r="I7" s="40" t="s">
        <v>355</v>
      </c>
      <c r="J7" s="40" t="s">
        <v>369</v>
      </c>
      <c r="K7" s="41" t="s">
        <v>378</v>
      </c>
      <c r="W7" s="48"/>
      <c r="X7" s="48"/>
      <c r="Y7" s="48"/>
    </row>
    <row r="8" ht="23.25" customHeight="1">
      <c r="A8" s="40" t="s">
        <v>100</v>
      </c>
      <c r="B8" s="40" t="s">
        <v>379</v>
      </c>
      <c r="C8" s="41" t="s">
        <v>380</v>
      </c>
      <c r="D8" s="40" t="s">
        <v>354</v>
      </c>
      <c r="E8" s="40" t="s">
        <v>256</v>
      </c>
      <c r="F8" s="40" t="s">
        <v>256</v>
      </c>
      <c r="G8" s="40" t="s">
        <v>256</v>
      </c>
      <c r="H8" s="40" t="s">
        <v>256</v>
      </c>
      <c r="I8" s="40" t="s">
        <v>355</v>
      </c>
      <c r="J8" s="40" t="s">
        <v>356</v>
      </c>
      <c r="K8" s="41" t="s">
        <v>381</v>
      </c>
      <c r="W8" s="48"/>
      <c r="X8" s="51" t="s">
        <v>363</v>
      </c>
      <c r="Y8" s="48"/>
    </row>
    <row r="9" ht="23.25" customHeight="1">
      <c r="A9" s="40" t="s">
        <v>382</v>
      </c>
      <c r="B9" s="40" t="s">
        <v>383</v>
      </c>
      <c r="C9" s="41" t="s">
        <v>384</v>
      </c>
      <c r="D9" s="40" t="s">
        <v>354</v>
      </c>
      <c r="E9" s="40" t="s">
        <v>256</v>
      </c>
      <c r="F9" s="40" t="s">
        <v>256</v>
      </c>
      <c r="G9" s="40" t="s">
        <v>256</v>
      </c>
      <c r="H9" s="40" t="s">
        <v>256</v>
      </c>
      <c r="I9" s="40" t="s">
        <v>355</v>
      </c>
      <c r="J9" s="40" t="s">
        <v>356</v>
      </c>
      <c r="K9" s="41" t="s">
        <v>385</v>
      </c>
      <c r="W9" s="48"/>
      <c r="X9" s="48"/>
      <c r="Y9" s="48"/>
    </row>
    <row r="10" ht="15.0" customHeight="1">
      <c r="A10" s="40" t="s">
        <v>94</v>
      </c>
      <c r="B10" s="40" t="s">
        <v>386</v>
      </c>
      <c r="C10" s="41" t="s">
        <v>387</v>
      </c>
      <c r="D10" s="40" t="s">
        <v>354</v>
      </c>
      <c r="E10" s="40" t="s">
        <v>256</v>
      </c>
      <c r="F10" s="40" t="s">
        <v>256</v>
      </c>
      <c r="G10" s="40" t="s">
        <v>256</v>
      </c>
      <c r="H10" s="40" t="s">
        <v>388</v>
      </c>
      <c r="I10" s="40" t="s">
        <v>355</v>
      </c>
      <c r="J10" s="40" t="s">
        <v>356</v>
      </c>
      <c r="K10" s="41" t="s">
        <v>389</v>
      </c>
      <c r="W10" s="48"/>
      <c r="X10" s="51" t="s">
        <v>363</v>
      </c>
      <c r="Y10" s="48"/>
    </row>
    <row r="11" ht="23.25" customHeight="1">
      <c r="A11" s="40" t="s">
        <v>97</v>
      </c>
      <c r="B11" s="40" t="s">
        <v>390</v>
      </c>
      <c r="C11" s="41" t="s">
        <v>391</v>
      </c>
      <c r="D11" s="40" t="s">
        <v>354</v>
      </c>
      <c r="E11" s="40" t="s">
        <v>256</v>
      </c>
      <c r="F11" s="40" t="s">
        <v>256</v>
      </c>
      <c r="G11" s="40" t="s">
        <v>256</v>
      </c>
      <c r="H11" s="40" t="s">
        <v>392</v>
      </c>
      <c r="I11" s="40" t="s">
        <v>355</v>
      </c>
      <c r="J11" s="40" t="s">
        <v>356</v>
      </c>
      <c r="K11" s="38" t="s">
        <v>393</v>
      </c>
      <c r="W11" s="48"/>
      <c r="X11" s="48"/>
      <c r="Y11" s="48"/>
    </row>
    <row r="12" ht="15.0" customHeight="1">
      <c r="A12" s="40" t="s">
        <v>394</v>
      </c>
      <c r="B12" s="40" t="s">
        <v>395</v>
      </c>
      <c r="C12" s="41" t="s">
        <v>396</v>
      </c>
      <c r="D12" s="40" t="s">
        <v>397</v>
      </c>
      <c r="E12" s="40" t="s">
        <v>256</v>
      </c>
      <c r="F12" s="40" t="s">
        <v>256</v>
      </c>
      <c r="G12" s="40" t="s">
        <v>256</v>
      </c>
      <c r="H12" s="40" t="s">
        <v>398</v>
      </c>
      <c r="I12" s="40" t="s">
        <v>355</v>
      </c>
      <c r="J12" s="40" t="s">
        <v>356</v>
      </c>
      <c r="K12" s="38" t="s">
        <v>399</v>
      </c>
      <c r="W12" s="48"/>
      <c r="X12" s="48"/>
      <c r="Y12" s="48"/>
    </row>
    <row r="13" ht="23.25" customHeight="1">
      <c r="A13" s="40" t="s">
        <v>82</v>
      </c>
      <c r="B13" s="40" t="s">
        <v>400</v>
      </c>
      <c r="C13" s="41" t="s">
        <v>401</v>
      </c>
      <c r="D13" s="40" t="s">
        <v>402</v>
      </c>
      <c r="E13" s="40">
        <v>350000.0</v>
      </c>
      <c r="F13" s="40" t="s">
        <v>256</v>
      </c>
      <c r="G13" s="40" t="s">
        <v>256</v>
      </c>
      <c r="H13" s="40" t="s">
        <v>256</v>
      </c>
      <c r="I13" s="40" t="s">
        <v>355</v>
      </c>
      <c r="J13" s="40" t="s">
        <v>356</v>
      </c>
      <c r="K13" s="41" t="s">
        <v>403</v>
      </c>
      <c r="W13" s="48"/>
      <c r="X13" s="48"/>
      <c r="Y13" s="48"/>
    </row>
    <row r="14" ht="15.0" customHeight="1">
      <c r="A14" s="40" t="s">
        <v>105</v>
      </c>
      <c r="B14" s="40" t="s">
        <v>404</v>
      </c>
      <c r="C14" s="41" t="s">
        <v>405</v>
      </c>
      <c r="D14" s="40" t="s">
        <v>354</v>
      </c>
      <c r="E14" s="40" t="s">
        <v>256</v>
      </c>
      <c r="F14" s="40" t="s">
        <v>256</v>
      </c>
      <c r="G14" s="40" t="s">
        <v>256</v>
      </c>
      <c r="H14" s="40" t="s">
        <v>256</v>
      </c>
      <c r="I14" s="40" t="s">
        <v>355</v>
      </c>
      <c r="J14" s="40" t="s">
        <v>356</v>
      </c>
      <c r="K14" s="38" t="s">
        <v>406</v>
      </c>
      <c r="W14" s="48"/>
      <c r="X14" s="51" t="s">
        <v>363</v>
      </c>
      <c r="Y14" s="48"/>
    </row>
    <row r="15" ht="23.25" customHeight="1">
      <c r="A15" s="40" t="s">
        <v>120</v>
      </c>
      <c r="B15" s="40" t="s">
        <v>407</v>
      </c>
      <c r="C15" s="41" t="s">
        <v>408</v>
      </c>
      <c r="D15" s="40" t="s">
        <v>397</v>
      </c>
      <c r="E15" s="40" t="s">
        <v>256</v>
      </c>
      <c r="F15" s="40" t="s">
        <v>256</v>
      </c>
      <c r="G15" s="40" t="s">
        <v>256</v>
      </c>
      <c r="H15" s="40" t="s">
        <v>409</v>
      </c>
      <c r="I15" s="40" t="s">
        <v>355</v>
      </c>
      <c r="J15" s="40" t="s">
        <v>356</v>
      </c>
      <c r="K15" s="38" t="s">
        <v>410</v>
      </c>
      <c r="W15" s="48"/>
      <c r="X15" s="48"/>
      <c r="Y15" s="48"/>
    </row>
    <row r="16" ht="15.0" customHeight="1">
      <c r="A16" s="40" t="s">
        <v>123</v>
      </c>
      <c r="B16" s="40" t="s">
        <v>411</v>
      </c>
      <c r="C16" s="41" t="s">
        <v>412</v>
      </c>
      <c r="D16" s="40" t="s">
        <v>397</v>
      </c>
      <c r="E16" s="40" t="s">
        <v>256</v>
      </c>
      <c r="F16" s="40" t="s">
        <v>256</v>
      </c>
      <c r="G16" s="40" t="s">
        <v>256</v>
      </c>
      <c r="H16" s="40" t="s">
        <v>413</v>
      </c>
      <c r="I16" s="40" t="s">
        <v>355</v>
      </c>
      <c r="J16" s="40" t="s">
        <v>356</v>
      </c>
      <c r="K16" s="38" t="s">
        <v>414</v>
      </c>
      <c r="W16" s="48"/>
      <c r="X16" s="48"/>
      <c r="Y16" s="48"/>
    </row>
    <row r="17" ht="15.0" customHeight="1">
      <c r="A17" s="40" t="s">
        <v>116</v>
      </c>
      <c r="B17" s="40" t="s">
        <v>415</v>
      </c>
      <c r="C17" s="41" t="s">
        <v>416</v>
      </c>
      <c r="D17" s="40" t="s">
        <v>397</v>
      </c>
      <c r="E17" s="40" t="s">
        <v>256</v>
      </c>
      <c r="F17" s="40" t="s">
        <v>256</v>
      </c>
      <c r="G17" s="40" t="s">
        <v>256</v>
      </c>
      <c r="H17" s="40" t="s">
        <v>417</v>
      </c>
      <c r="I17" s="40" t="s">
        <v>355</v>
      </c>
      <c r="J17" s="40" t="s">
        <v>356</v>
      </c>
      <c r="K17" s="38" t="s">
        <v>418</v>
      </c>
      <c r="W17" s="48"/>
      <c r="X17" s="48"/>
      <c r="Y17" s="48"/>
    </row>
    <row r="18" ht="15.0" customHeight="1">
      <c r="A18" s="40" t="s">
        <v>130</v>
      </c>
      <c r="B18" s="40" t="s">
        <v>419</v>
      </c>
      <c r="C18" s="41" t="s">
        <v>420</v>
      </c>
      <c r="D18" s="40" t="s">
        <v>421</v>
      </c>
      <c r="E18" s="40" t="s">
        <v>256</v>
      </c>
      <c r="F18" s="40" t="s">
        <v>256</v>
      </c>
      <c r="G18" s="40" t="s">
        <v>256</v>
      </c>
      <c r="H18" s="40" t="s">
        <v>422</v>
      </c>
      <c r="I18" s="40" t="s">
        <v>355</v>
      </c>
      <c r="J18" s="40" t="s">
        <v>356</v>
      </c>
      <c r="K18" s="41" t="s">
        <v>423</v>
      </c>
      <c r="W18" s="48"/>
      <c r="X18" s="51" t="s">
        <v>363</v>
      </c>
      <c r="Y18" s="48"/>
    </row>
    <row r="19" ht="15.0" customHeight="1">
      <c r="A19" s="40" t="s">
        <v>108</v>
      </c>
      <c r="B19" s="40" t="s">
        <v>424</v>
      </c>
      <c r="C19" s="41" t="s">
        <v>425</v>
      </c>
      <c r="D19" s="40" t="s">
        <v>421</v>
      </c>
      <c r="E19" s="40" t="s">
        <v>256</v>
      </c>
      <c r="F19" s="40" t="s">
        <v>256</v>
      </c>
      <c r="G19" s="40" t="s">
        <v>256</v>
      </c>
      <c r="H19" s="40" t="s">
        <v>426</v>
      </c>
      <c r="I19" s="40" t="s">
        <v>355</v>
      </c>
      <c r="J19" s="40" t="s">
        <v>356</v>
      </c>
      <c r="K19" s="41" t="s">
        <v>427</v>
      </c>
      <c r="W19" s="48"/>
      <c r="X19" s="48"/>
      <c r="Y19" s="48"/>
    </row>
    <row r="20" ht="15.0" customHeight="1">
      <c r="A20" s="40" t="s">
        <v>112</v>
      </c>
      <c r="B20" s="40" t="s">
        <v>428</v>
      </c>
      <c r="C20" s="41" t="s">
        <v>429</v>
      </c>
      <c r="D20" s="40" t="s">
        <v>421</v>
      </c>
      <c r="E20" s="40" t="s">
        <v>256</v>
      </c>
      <c r="F20" s="40" t="s">
        <v>256</v>
      </c>
      <c r="G20" s="40" t="s">
        <v>430</v>
      </c>
      <c r="H20" s="40" t="s">
        <v>431</v>
      </c>
      <c r="I20" s="40" t="s">
        <v>355</v>
      </c>
      <c r="J20" s="40" t="s">
        <v>356</v>
      </c>
      <c r="K20" s="38" t="s">
        <v>432</v>
      </c>
      <c r="W20" s="48"/>
      <c r="X20" s="48"/>
      <c r="Y20" s="48"/>
    </row>
    <row r="21" ht="15.0" customHeight="1">
      <c r="A21" s="40" t="s">
        <v>433</v>
      </c>
      <c r="B21" s="40" t="s">
        <v>424</v>
      </c>
      <c r="C21" s="41" t="s">
        <v>434</v>
      </c>
      <c r="D21" s="40" t="s">
        <v>421</v>
      </c>
      <c r="E21" s="40" t="s">
        <v>256</v>
      </c>
      <c r="F21" s="40" t="s">
        <v>256</v>
      </c>
      <c r="G21" s="40" t="s">
        <v>256</v>
      </c>
      <c r="H21" s="40" t="s">
        <v>435</v>
      </c>
      <c r="I21" s="40" t="s">
        <v>355</v>
      </c>
      <c r="J21" s="40" t="s">
        <v>436</v>
      </c>
      <c r="K21" s="38"/>
      <c r="W21" s="48"/>
      <c r="X21" s="48"/>
      <c r="Y21" s="48"/>
    </row>
    <row r="22" ht="15.0" customHeight="1">
      <c r="A22" s="40" t="s">
        <v>437</v>
      </c>
      <c r="B22" s="40" t="s">
        <v>438</v>
      </c>
      <c r="C22" s="41" t="s">
        <v>439</v>
      </c>
      <c r="D22" s="40" t="s">
        <v>397</v>
      </c>
      <c r="E22" s="40" t="s">
        <v>256</v>
      </c>
      <c r="F22" s="40" t="s">
        <v>256</v>
      </c>
      <c r="G22" s="40" t="s">
        <v>256</v>
      </c>
      <c r="H22" s="40" t="s">
        <v>440</v>
      </c>
      <c r="I22" s="40" t="s">
        <v>355</v>
      </c>
      <c r="J22" s="40" t="s">
        <v>441</v>
      </c>
      <c r="K22" s="41" t="s">
        <v>442</v>
      </c>
      <c r="W22" s="48"/>
      <c r="X22" s="51" t="s">
        <v>363</v>
      </c>
      <c r="Y22" s="48"/>
    </row>
    <row r="23" ht="15.0" customHeight="1">
      <c r="A23" s="40" t="s">
        <v>443</v>
      </c>
      <c r="B23" s="40" t="s">
        <v>371</v>
      </c>
      <c r="C23" s="41" t="s">
        <v>444</v>
      </c>
      <c r="D23" s="40" t="s">
        <v>397</v>
      </c>
      <c r="E23" s="40" t="s">
        <v>256</v>
      </c>
      <c r="F23" s="40" t="s">
        <v>256</v>
      </c>
      <c r="G23" s="40" t="s">
        <v>256</v>
      </c>
      <c r="H23" s="40" t="s">
        <v>256</v>
      </c>
      <c r="I23" s="40" t="s">
        <v>355</v>
      </c>
      <c r="J23" s="40" t="s">
        <v>445</v>
      </c>
      <c r="K23" s="38"/>
      <c r="W23" s="48"/>
      <c r="X23" s="48"/>
      <c r="Y23" s="48"/>
    </row>
    <row r="24" ht="15.0" customHeight="1">
      <c r="A24" s="37"/>
      <c r="B24" s="37"/>
      <c r="C24" s="38"/>
      <c r="D24" s="37"/>
      <c r="E24" s="37"/>
      <c r="F24" s="37"/>
      <c r="G24" s="37"/>
      <c r="H24" s="37"/>
      <c r="I24" s="37"/>
      <c r="J24" s="37"/>
      <c r="K24" s="38" t="s">
        <v>446</v>
      </c>
      <c r="W24" s="48"/>
      <c r="X24" s="48"/>
      <c r="Y24" s="48"/>
    </row>
    <row r="25" ht="15.0" customHeight="1">
      <c r="A25" s="37"/>
      <c r="B25" s="37"/>
      <c r="C25" s="38"/>
      <c r="D25" s="37"/>
      <c r="E25" s="37"/>
      <c r="F25" s="37"/>
      <c r="G25" s="37"/>
      <c r="H25" s="37"/>
      <c r="I25" s="37"/>
      <c r="J25" s="37"/>
      <c r="K25" s="38"/>
      <c r="W25" s="48"/>
      <c r="X25" s="48"/>
      <c r="Y25" s="48"/>
    </row>
    <row r="26" ht="15.0" customHeight="1">
      <c r="A26" s="37"/>
      <c r="B26" s="37"/>
      <c r="C26" s="38"/>
      <c r="D26" s="37"/>
      <c r="E26" s="37"/>
      <c r="F26" s="37"/>
      <c r="G26" s="37"/>
      <c r="H26" s="37"/>
      <c r="I26" s="37"/>
      <c r="J26" s="37"/>
      <c r="K26" s="38"/>
      <c r="W26" s="48"/>
      <c r="X26" s="48"/>
      <c r="Y26" s="48"/>
    </row>
    <row r="27" ht="15.0" customHeight="1">
      <c r="A27" s="37"/>
      <c r="B27" s="37"/>
      <c r="C27" s="38"/>
      <c r="D27" s="37"/>
      <c r="E27" s="37"/>
      <c r="F27" s="37"/>
      <c r="G27" s="37"/>
      <c r="H27" s="37"/>
      <c r="I27" s="37"/>
      <c r="J27" s="37"/>
      <c r="K27" s="38"/>
      <c r="W27" s="48"/>
      <c r="X27" s="48"/>
      <c r="Y27" s="48"/>
    </row>
    <row r="28" ht="15.0" customHeight="1">
      <c r="A28" s="37"/>
      <c r="B28" s="37"/>
      <c r="C28" s="38"/>
      <c r="D28" s="37"/>
      <c r="E28" s="37"/>
      <c r="F28" s="37"/>
      <c r="G28" s="37"/>
      <c r="H28" s="37"/>
      <c r="I28" s="37"/>
      <c r="J28" s="37"/>
      <c r="K28" s="38" t="s">
        <v>447</v>
      </c>
      <c r="W28" s="48"/>
      <c r="X28" s="48"/>
      <c r="Y28" s="48"/>
    </row>
    <row r="29" ht="15.0" customHeight="1">
      <c r="A29" s="37"/>
      <c r="B29" s="37"/>
      <c r="C29" s="38"/>
      <c r="D29" s="37"/>
      <c r="E29" s="37"/>
      <c r="F29" s="37"/>
      <c r="G29" s="37"/>
      <c r="H29" s="37"/>
      <c r="I29" s="37"/>
      <c r="J29" s="37"/>
      <c r="K29" s="38" t="s">
        <v>448</v>
      </c>
      <c r="W29" s="48"/>
      <c r="X29" s="48"/>
      <c r="Y29" s="48"/>
    </row>
    <row r="30" ht="15.0" customHeight="1">
      <c r="A30" s="37"/>
      <c r="B30" s="37"/>
      <c r="C30" s="38"/>
      <c r="D30" s="37"/>
      <c r="E30" s="37"/>
      <c r="F30" s="37"/>
      <c r="G30" s="37"/>
      <c r="H30" s="37"/>
      <c r="I30" s="37"/>
      <c r="J30" s="37"/>
      <c r="K30" s="38"/>
      <c r="W30" s="48"/>
      <c r="X30" s="48"/>
      <c r="Y30" s="48"/>
    </row>
    <row r="31" ht="15.0" customHeight="1">
      <c r="A31" s="40"/>
      <c r="B31" s="40"/>
      <c r="C31" s="41"/>
      <c r="D31" s="40"/>
      <c r="E31" s="40"/>
      <c r="F31" s="40"/>
      <c r="G31" s="40"/>
      <c r="H31" s="40"/>
      <c r="I31" s="40"/>
      <c r="J31" s="40"/>
      <c r="K31" s="41" t="s">
        <v>449</v>
      </c>
      <c r="W31" s="48"/>
      <c r="X31" s="48"/>
      <c r="Y31" s="48"/>
    </row>
    <row r="32" ht="15.0" customHeight="1">
      <c r="A32" s="40"/>
      <c r="B32" s="40"/>
      <c r="C32" s="41"/>
      <c r="D32" s="40"/>
      <c r="E32" s="40"/>
      <c r="F32" s="40"/>
      <c r="G32" s="40"/>
      <c r="H32" s="40"/>
      <c r="I32" s="40"/>
      <c r="J32" s="40"/>
      <c r="K32" s="41" t="s">
        <v>450</v>
      </c>
      <c r="V32" s="51" t="s">
        <v>451</v>
      </c>
      <c r="W32" s="51" t="s">
        <v>452</v>
      </c>
      <c r="X32" s="48"/>
      <c r="Y32" s="48"/>
    </row>
    <row r="33" ht="15.0" customHeight="1">
      <c r="A33" s="37"/>
      <c r="B33" s="37"/>
      <c r="C33" s="38"/>
      <c r="D33" s="37"/>
      <c r="E33" s="37"/>
      <c r="F33" s="37"/>
      <c r="G33" s="37"/>
      <c r="H33" s="37"/>
      <c r="I33" s="37"/>
      <c r="J33" s="37"/>
      <c r="K33" s="38"/>
      <c r="W33" s="48"/>
      <c r="X33" s="48"/>
      <c r="Y33" s="48"/>
    </row>
    <row r="34" ht="23.25" customHeight="1">
      <c r="A34" s="37"/>
      <c r="B34" s="37"/>
      <c r="C34" s="38"/>
      <c r="D34" s="37"/>
      <c r="E34" s="37"/>
      <c r="F34" s="37"/>
      <c r="G34" s="37"/>
      <c r="H34" s="37"/>
      <c r="I34" s="40"/>
      <c r="J34" s="40"/>
      <c r="K34" s="41" t="s">
        <v>453</v>
      </c>
      <c r="W34" s="48"/>
      <c r="X34" s="48"/>
      <c r="Y34" s="48"/>
    </row>
    <row r="35" ht="15.0" customHeight="1">
      <c r="A35" s="37"/>
      <c r="B35" s="37"/>
      <c r="C35" s="38"/>
      <c r="D35" s="37"/>
      <c r="E35" s="37"/>
      <c r="F35" s="37"/>
      <c r="G35" s="37"/>
      <c r="H35" s="37"/>
      <c r="I35" s="37"/>
      <c r="J35" s="37"/>
      <c r="K35" s="38"/>
      <c r="W35" s="48"/>
      <c r="X35" s="48"/>
      <c r="Y35" s="48"/>
    </row>
    <row r="36" ht="15.0" customHeight="1">
      <c r="A36" s="37"/>
      <c r="B36" s="37"/>
      <c r="C36" s="38"/>
      <c r="D36" s="37"/>
      <c r="E36" s="37"/>
      <c r="F36" s="37"/>
      <c r="G36" s="37"/>
      <c r="H36" s="37"/>
      <c r="I36" s="37"/>
      <c r="J36" s="37"/>
      <c r="K36" s="38" t="s">
        <v>454</v>
      </c>
      <c r="W36" s="48"/>
      <c r="X36" s="48"/>
      <c r="Y36" s="48"/>
    </row>
    <row r="37" ht="15.0" customHeight="1">
      <c r="A37" s="37"/>
      <c r="B37" s="37"/>
      <c r="C37" s="38"/>
      <c r="D37" s="37"/>
      <c r="E37" s="37"/>
      <c r="F37" s="37"/>
      <c r="G37" s="37"/>
      <c r="H37" s="37"/>
      <c r="I37" s="37"/>
      <c r="J37" s="37"/>
      <c r="K37" s="38"/>
      <c r="W37" s="48"/>
      <c r="X37" s="48"/>
      <c r="Y37" s="48"/>
    </row>
    <row r="38" ht="23.25" customHeight="1">
      <c r="A38" s="37"/>
      <c r="B38" s="37"/>
      <c r="C38" s="38"/>
      <c r="D38" s="37"/>
      <c r="E38" s="37"/>
      <c r="F38" s="37"/>
      <c r="G38" s="37"/>
      <c r="H38" s="37"/>
      <c r="I38" s="37"/>
      <c r="J38" s="37"/>
      <c r="K38" s="38" t="s">
        <v>455</v>
      </c>
      <c r="W38" s="48"/>
      <c r="X38" s="48"/>
      <c r="Y38" s="48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W39" s="48"/>
      <c r="X39" s="48"/>
      <c r="Y39" s="48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W40" s="48"/>
      <c r="X40" s="48"/>
      <c r="Y40" s="48"/>
    </row>
    <row r="41" ht="15.75" customHeight="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 t="s">
        <v>456</v>
      </c>
      <c r="L41" s="53" t="s">
        <v>355</v>
      </c>
      <c r="M41" s="53" t="s">
        <v>355</v>
      </c>
      <c r="N41" s="53" t="s">
        <v>355</v>
      </c>
      <c r="O41" s="53" t="s">
        <v>355</v>
      </c>
      <c r="P41" s="53" t="s">
        <v>355</v>
      </c>
      <c r="Q41" s="53" t="s">
        <v>355</v>
      </c>
      <c r="R41" s="53" t="s">
        <v>457</v>
      </c>
      <c r="S41" s="53" t="s">
        <v>458</v>
      </c>
      <c r="T41" s="53" t="s">
        <v>256</v>
      </c>
      <c r="U41" s="53" t="s">
        <v>459</v>
      </c>
      <c r="W41" s="48"/>
      <c r="X41" s="48"/>
      <c r="Y41" s="48"/>
    </row>
    <row r="42" ht="15.75" customHeight="1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 t="s">
        <v>460</v>
      </c>
      <c r="L42" s="53" t="s">
        <v>355</v>
      </c>
      <c r="M42" s="53" t="s">
        <v>355</v>
      </c>
      <c r="N42" s="53" t="s">
        <v>355</v>
      </c>
      <c r="O42" s="53" t="s">
        <v>355</v>
      </c>
      <c r="P42" s="53" t="s">
        <v>355</v>
      </c>
      <c r="Q42" s="53" t="s">
        <v>355</v>
      </c>
      <c r="R42" s="53" t="s">
        <v>457</v>
      </c>
      <c r="S42" s="53" t="s">
        <v>458</v>
      </c>
      <c r="T42" s="53" t="s">
        <v>256</v>
      </c>
      <c r="U42" s="53" t="s">
        <v>461</v>
      </c>
      <c r="W42" s="48"/>
      <c r="X42" s="48"/>
      <c r="Y42" s="48"/>
    </row>
    <row r="43" ht="15.75" customHeight="1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 t="s">
        <v>462</v>
      </c>
      <c r="L43" s="53" t="s">
        <v>355</v>
      </c>
      <c r="M43" s="53" t="s">
        <v>355</v>
      </c>
      <c r="N43" s="53" t="s">
        <v>355</v>
      </c>
      <c r="O43" s="53" t="s">
        <v>355</v>
      </c>
      <c r="P43" s="53" t="s">
        <v>355</v>
      </c>
      <c r="Q43" s="53" t="s">
        <v>355</v>
      </c>
      <c r="R43" s="53" t="s">
        <v>457</v>
      </c>
      <c r="S43" s="53" t="s">
        <v>458</v>
      </c>
      <c r="T43" s="53" t="s">
        <v>256</v>
      </c>
      <c r="U43" s="53" t="s">
        <v>461</v>
      </c>
      <c r="W43" s="48"/>
      <c r="X43" s="48"/>
      <c r="Y43" s="48"/>
    </row>
    <row r="44" ht="15.75" customHeight="1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 t="s">
        <v>463</v>
      </c>
      <c r="L44" s="53" t="s">
        <v>355</v>
      </c>
      <c r="M44" s="53" t="s">
        <v>355</v>
      </c>
      <c r="N44" s="53" t="s">
        <v>355</v>
      </c>
      <c r="O44" s="53" t="s">
        <v>355</v>
      </c>
      <c r="P44" s="53" t="s">
        <v>355</v>
      </c>
      <c r="Q44" s="53" t="s">
        <v>355</v>
      </c>
      <c r="R44" s="53" t="s">
        <v>457</v>
      </c>
      <c r="S44" s="53" t="s">
        <v>458</v>
      </c>
      <c r="T44" s="53" t="s">
        <v>256</v>
      </c>
      <c r="U44" s="53" t="s">
        <v>464</v>
      </c>
      <c r="V44" s="51" t="s">
        <v>451</v>
      </c>
      <c r="W44" s="51" t="s">
        <v>452</v>
      </c>
      <c r="X44" s="48"/>
      <c r="Y44" s="48"/>
    </row>
    <row r="45" ht="15.75" customHeight="1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 t="s">
        <v>465</v>
      </c>
      <c r="L45" s="53" t="s">
        <v>355</v>
      </c>
      <c r="M45" s="53" t="s">
        <v>355</v>
      </c>
      <c r="N45" s="53" t="s">
        <v>355</v>
      </c>
      <c r="O45" s="53" t="s">
        <v>355</v>
      </c>
      <c r="P45" s="53" t="s">
        <v>355</v>
      </c>
      <c r="Q45" s="53" t="s">
        <v>355</v>
      </c>
      <c r="R45" s="53" t="s">
        <v>457</v>
      </c>
      <c r="S45" s="53" t="s">
        <v>458</v>
      </c>
      <c r="T45" s="53" t="s">
        <v>256</v>
      </c>
      <c r="U45" s="53" t="s">
        <v>464</v>
      </c>
      <c r="V45" s="51" t="s">
        <v>466</v>
      </c>
      <c r="W45" s="51" t="s">
        <v>452</v>
      </c>
      <c r="X45" s="48"/>
      <c r="Y45" s="48"/>
    </row>
    <row r="46" ht="15.75" customHeigh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 t="s">
        <v>467</v>
      </c>
      <c r="L46" s="53" t="s">
        <v>355</v>
      </c>
      <c r="M46" s="53" t="s">
        <v>355</v>
      </c>
      <c r="N46" s="53" t="s">
        <v>355</v>
      </c>
      <c r="O46" s="53" t="s">
        <v>355</v>
      </c>
      <c r="P46" s="53" t="s">
        <v>355</v>
      </c>
      <c r="Q46" s="53" t="s">
        <v>355</v>
      </c>
      <c r="R46" s="53" t="s">
        <v>457</v>
      </c>
      <c r="S46" s="53" t="s">
        <v>458</v>
      </c>
      <c r="T46" s="53" t="s">
        <v>256</v>
      </c>
      <c r="U46" s="53" t="s">
        <v>464</v>
      </c>
      <c r="V46" s="51" t="s">
        <v>468</v>
      </c>
      <c r="W46" s="51" t="s">
        <v>452</v>
      </c>
      <c r="X46" s="48"/>
      <c r="Y46" s="48"/>
    </row>
    <row r="47" ht="15.75" customHeight="1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 t="s">
        <v>469</v>
      </c>
      <c r="L47" s="53" t="s">
        <v>355</v>
      </c>
      <c r="M47" s="53" t="s">
        <v>355</v>
      </c>
      <c r="N47" s="53" t="s">
        <v>355</v>
      </c>
      <c r="O47" s="53" t="s">
        <v>355</v>
      </c>
      <c r="P47" s="53" t="s">
        <v>355</v>
      </c>
      <c r="Q47" s="53" t="s">
        <v>355</v>
      </c>
      <c r="R47" s="53" t="s">
        <v>457</v>
      </c>
      <c r="S47" s="53" t="s">
        <v>458</v>
      </c>
      <c r="T47" s="53" t="s">
        <v>256</v>
      </c>
      <c r="U47" s="53" t="s">
        <v>464</v>
      </c>
      <c r="V47" s="51" t="s">
        <v>470</v>
      </c>
      <c r="W47" s="51" t="s">
        <v>452</v>
      </c>
      <c r="X47" s="48"/>
      <c r="Y47" s="48"/>
    </row>
    <row r="48" ht="15.75" customHeight="1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 t="s">
        <v>471</v>
      </c>
      <c r="L48" s="53" t="s">
        <v>355</v>
      </c>
      <c r="M48" s="53" t="s">
        <v>355</v>
      </c>
      <c r="N48" s="53" t="s">
        <v>355</v>
      </c>
      <c r="O48" s="53" t="s">
        <v>355</v>
      </c>
      <c r="P48" s="53" t="s">
        <v>355</v>
      </c>
      <c r="Q48" s="53" t="s">
        <v>355</v>
      </c>
      <c r="R48" s="53" t="s">
        <v>457</v>
      </c>
      <c r="S48" s="53" t="s">
        <v>458</v>
      </c>
      <c r="T48" s="53" t="s">
        <v>256</v>
      </c>
      <c r="U48" s="53" t="s">
        <v>472</v>
      </c>
      <c r="V48" s="53" t="s">
        <v>473</v>
      </c>
      <c r="W48" s="53" t="s">
        <v>256</v>
      </c>
      <c r="X48" s="53" t="s">
        <v>256</v>
      </c>
      <c r="Y48" s="53" t="s">
        <v>452</v>
      </c>
    </row>
    <row r="49" ht="15.75" customHeight="1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 t="s">
        <v>474</v>
      </c>
      <c r="L49" s="53"/>
      <c r="M49" s="53" t="s">
        <v>355</v>
      </c>
      <c r="N49" s="53" t="s">
        <v>355</v>
      </c>
      <c r="O49" s="53" t="s">
        <v>355</v>
      </c>
      <c r="P49" s="53" t="s">
        <v>355</v>
      </c>
      <c r="Q49" s="53" t="s">
        <v>355</v>
      </c>
      <c r="R49" s="53" t="s">
        <v>457</v>
      </c>
      <c r="S49" s="53" t="s">
        <v>458</v>
      </c>
      <c r="T49" s="53" t="s">
        <v>256</v>
      </c>
      <c r="U49" s="53" t="s">
        <v>475</v>
      </c>
      <c r="V49" s="53"/>
      <c r="W49" s="53" t="s">
        <v>256</v>
      </c>
      <c r="X49" s="53" t="s">
        <v>256</v>
      </c>
      <c r="Y49" s="53" t="s">
        <v>452</v>
      </c>
    </row>
    <row r="50" ht="15.75" customHeight="1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 t="s">
        <v>476</v>
      </c>
      <c r="L50" s="53">
        <v>40000.0</v>
      </c>
      <c r="M50" s="53">
        <v>30000.0</v>
      </c>
      <c r="N50" s="53" t="s">
        <v>355</v>
      </c>
      <c r="O50" s="53">
        <v>15000.0</v>
      </c>
      <c r="P50" s="53" t="s">
        <v>355</v>
      </c>
      <c r="Q50" s="53" t="s">
        <v>355</v>
      </c>
      <c r="R50" s="53" t="s">
        <v>477</v>
      </c>
      <c r="S50" s="53" t="s">
        <v>478</v>
      </c>
      <c r="T50" s="53" t="s">
        <v>172</v>
      </c>
      <c r="U50" s="53" t="s">
        <v>479</v>
      </c>
      <c r="V50" s="53" t="s">
        <v>473</v>
      </c>
      <c r="W50" s="53" t="s">
        <v>256</v>
      </c>
      <c r="X50" s="53" t="s">
        <v>256</v>
      </c>
      <c r="Y50" s="53" t="s">
        <v>452</v>
      </c>
    </row>
    <row r="51" ht="15.7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 t="s">
        <v>480</v>
      </c>
      <c r="W51" s="48"/>
      <c r="X51" s="48"/>
      <c r="Y51" s="48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W52" s="48"/>
      <c r="X52" s="48"/>
      <c r="Y52" s="48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W53" s="48"/>
      <c r="X53" s="48"/>
      <c r="Y53" s="48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W54" s="48"/>
      <c r="X54" s="48"/>
      <c r="Y54" s="48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W55" s="48"/>
      <c r="X55" s="48"/>
      <c r="Y55" s="48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W56" s="48"/>
      <c r="X56" s="48"/>
      <c r="Y56" s="48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W57" s="48"/>
      <c r="X57" s="48"/>
      <c r="Y57" s="48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W58" s="48"/>
      <c r="X58" s="48"/>
      <c r="Y58" s="48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W59" s="48"/>
      <c r="X59" s="48"/>
      <c r="Y59" s="48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W60" s="48"/>
      <c r="X60" s="48"/>
      <c r="Y60" s="48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W61" s="48"/>
      <c r="X61" s="48"/>
      <c r="Y61" s="48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W62" s="48"/>
      <c r="X62" s="48"/>
      <c r="Y62" s="48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W63" s="48"/>
      <c r="X63" s="48"/>
      <c r="Y63" s="48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W64" s="48"/>
      <c r="X64" s="48"/>
      <c r="Y64" s="48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W65" s="48"/>
      <c r="X65" s="48"/>
      <c r="Y65" s="48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W66" s="48"/>
      <c r="X66" s="48"/>
      <c r="Y66" s="48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W67" s="48"/>
      <c r="X67" s="48"/>
      <c r="Y67" s="48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W68" s="48"/>
      <c r="X68" s="48"/>
      <c r="Y68" s="48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W69" s="48"/>
      <c r="X69" s="48"/>
      <c r="Y69" s="48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W70" s="48"/>
      <c r="X70" s="48"/>
      <c r="Y70" s="48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W71" s="48"/>
      <c r="X71" s="48"/>
      <c r="Y71" s="48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W72" s="48"/>
      <c r="X72" s="48"/>
      <c r="Y72" s="48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W73" s="48"/>
      <c r="X73" s="48"/>
      <c r="Y73" s="48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W74" s="48"/>
      <c r="X74" s="48"/>
      <c r="Y74" s="48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W75" s="48"/>
      <c r="X75" s="48"/>
      <c r="Y75" s="48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W76" s="48"/>
      <c r="X76" s="48"/>
      <c r="Y76" s="48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W77" s="48"/>
      <c r="X77" s="48"/>
      <c r="Y77" s="48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W78" s="48"/>
      <c r="X78" s="48"/>
      <c r="Y78" s="48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W79" s="48"/>
      <c r="X79" s="48"/>
      <c r="Y79" s="48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W80" s="48"/>
      <c r="X80" s="48"/>
      <c r="Y80" s="48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W81" s="48"/>
      <c r="X81" s="48"/>
      <c r="Y81" s="48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W82" s="48"/>
      <c r="X82" s="48"/>
      <c r="Y82" s="48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W83" s="48"/>
      <c r="X83" s="48"/>
      <c r="Y83" s="48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W84" s="48"/>
      <c r="X84" s="48"/>
      <c r="Y84" s="48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W85" s="48"/>
      <c r="X85" s="48"/>
      <c r="Y85" s="48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W86" s="48"/>
      <c r="X86" s="48"/>
      <c r="Y86" s="48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W87" s="48"/>
      <c r="X87" s="48"/>
      <c r="Y87" s="48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W88" s="48"/>
      <c r="X88" s="48"/>
      <c r="Y88" s="48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W89" s="48"/>
      <c r="X89" s="48"/>
      <c r="Y89" s="48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W90" s="48"/>
      <c r="X90" s="48"/>
      <c r="Y90" s="48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W91" s="48"/>
      <c r="X91" s="48"/>
      <c r="Y91" s="48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W92" s="48"/>
      <c r="X92" s="48"/>
      <c r="Y92" s="48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W93" s="48"/>
      <c r="X93" s="48"/>
      <c r="Y93" s="48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W94" s="48"/>
      <c r="X94" s="48"/>
      <c r="Y94" s="48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W95" s="48"/>
      <c r="X95" s="48"/>
      <c r="Y95" s="48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W96" s="48"/>
      <c r="X96" s="48"/>
      <c r="Y96" s="48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W97" s="48"/>
      <c r="X97" s="48"/>
      <c r="Y97" s="48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W98" s="48"/>
      <c r="X98" s="48"/>
      <c r="Y98" s="48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W99" s="48"/>
      <c r="X99" s="48"/>
      <c r="Y99" s="48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W100" s="48"/>
      <c r="X100" s="48"/>
      <c r="Y100" s="48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W101" s="48"/>
      <c r="X101" s="48"/>
      <c r="Y101" s="48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W102" s="48"/>
      <c r="X102" s="48"/>
      <c r="Y102" s="48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W103" s="48"/>
      <c r="X103" s="48"/>
      <c r="Y103" s="48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W104" s="48"/>
      <c r="X104" s="48"/>
      <c r="Y104" s="48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W105" s="48"/>
      <c r="X105" s="48"/>
      <c r="Y105" s="48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W106" s="48"/>
      <c r="X106" s="48"/>
      <c r="Y106" s="48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W107" s="48"/>
      <c r="X107" s="48"/>
      <c r="Y107" s="48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W108" s="48"/>
      <c r="X108" s="48"/>
      <c r="Y108" s="48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W109" s="48"/>
      <c r="X109" s="48"/>
      <c r="Y109" s="48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W110" s="48"/>
      <c r="X110" s="48"/>
      <c r="Y110" s="48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W111" s="48"/>
      <c r="X111" s="48"/>
      <c r="Y111" s="48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W112" s="48"/>
      <c r="X112" s="48"/>
      <c r="Y112" s="48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W113" s="48"/>
      <c r="X113" s="48"/>
      <c r="Y113" s="48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W114" s="48"/>
      <c r="X114" s="48"/>
      <c r="Y114" s="48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W115" s="48"/>
      <c r="X115" s="48"/>
      <c r="Y115" s="48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W116" s="48"/>
      <c r="X116" s="48"/>
      <c r="Y116" s="48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W117" s="48"/>
      <c r="X117" s="48"/>
      <c r="Y117" s="48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W118" s="48"/>
      <c r="X118" s="48"/>
      <c r="Y118" s="48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W119" s="48"/>
      <c r="X119" s="48"/>
      <c r="Y119" s="48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W120" s="48"/>
      <c r="X120" s="48"/>
      <c r="Y120" s="48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W121" s="48"/>
      <c r="X121" s="48"/>
      <c r="Y121" s="48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W122" s="48"/>
      <c r="X122" s="48"/>
      <c r="Y122" s="48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W123" s="48"/>
      <c r="X123" s="48"/>
      <c r="Y123" s="48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W124" s="48"/>
      <c r="X124" s="48"/>
      <c r="Y124" s="48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W125" s="48"/>
      <c r="X125" s="48"/>
      <c r="Y125" s="48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W126" s="48"/>
      <c r="X126" s="48"/>
      <c r="Y126" s="48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W127" s="48"/>
      <c r="X127" s="48"/>
      <c r="Y127" s="48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W128" s="48"/>
      <c r="X128" s="48"/>
      <c r="Y128" s="48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W129" s="48"/>
      <c r="X129" s="48"/>
      <c r="Y129" s="48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W130" s="48"/>
      <c r="X130" s="48"/>
      <c r="Y130" s="48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W131" s="48"/>
      <c r="X131" s="48"/>
      <c r="Y131" s="48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W132" s="48"/>
      <c r="X132" s="48"/>
      <c r="Y132" s="48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W133" s="48"/>
      <c r="X133" s="48"/>
      <c r="Y133" s="48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W134" s="48"/>
      <c r="X134" s="48"/>
      <c r="Y134" s="48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W135" s="48"/>
      <c r="X135" s="48"/>
      <c r="Y135" s="48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W136" s="48"/>
      <c r="X136" s="48"/>
      <c r="Y136" s="48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W137" s="48"/>
      <c r="X137" s="48"/>
      <c r="Y137" s="48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W138" s="48"/>
      <c r="X138" s="48"/>
      <c r="Y138" s="48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W139" s="48"/>
      <c r="X139" s="48"/>
      <c r="Y139" s="48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W140" s="48"/>
      <c r="X140" s="48"/>
      <c r="Y140" s="48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W141" s="48"/>
      <c r="X141" s="48"/>
      <c r="Y141" s="48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W142" s="48"/>
      <c r="X142" s="48"/>
      <c r="Y142" s="48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W143" s="48"/>
      <c r="X143" s="48"/>
      <c r="Y143" s="48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W144" s="48"/>
      <c r="X144" s="48"/>
      <c r="Y144" s="48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W145" s="48"/>
      <c r="X145" s="48"/>
      <c r="Y145" s="48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W146" s="48"/>
      <c r="X146" s="48"/>
      <c r="Y146" s="48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W147" s="48"/>
      <c r="X147" s="48"/>
      <c r="Y147" s="48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W148" s="48"/>
      <c r="X148" s="48"/>
      <c r="Y148" s="48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W149" s="48"/>
      <c r="X149" s="48"/>
      <c r="Y149" s="48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W150" s="48"/>
      <c r="X150" s="48"/>
      <c r="Y150" s="48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W151" s="48"/>
      <c r="X151" s="48"/>
      <c r="Y151" s="48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W152" s="48"/>
      <c r="X152" s="48"/>
      <c r="Y152" s="48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W153" s="48"/>
      <c r="X153" s="48"/>
      <c r="Y153" s="48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W154" s="48"/>
      <c r="X154" s="48"/>
      <c r="Y154" s="48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W155" s="48"/>
      <c r="X155" s="48"/>
      <c r="Y155" s="48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W156" s="48"/>
      <c r="X156" s="48"/>
      <c r="Y156" s="48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W157" s="48"/>
      <c r="X157" s="48"/>
      <c r="Y157" s="48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W158" s="48"/>
      <c r="X158" s="48"/>
      <c r="Y158" s="48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W159" s="48"/>
      <c r="X159" s="48"/>
      <c r="Y159" s="48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W160" s="48"/>
      <c r="X160" s="48"/>
      <c r="Y160" s="48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W161" s="48"/>
      <c r="X161" s="48"/>
      <c r="Y161" s="48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W162" s="48"/>
      <c r="X162" s="48"/>
      <c r="Y162" s="48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W163" s="48"/>
      <c r="X163" s="48"/>
      <c r="Y163" s="48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W164" s="48"/>
      <c r="X164" s="48"/>
      <c r="Y164" s="48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W165" s="48"/>
      <c r="X165" s="48"/>
      <c r="Y165" s="48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W166" s="48"/>
      <c r="X166" s="48"/>
      <c r="Y166" s="48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W167" s="48"/>
      <c r="X167" s="48"/>
      <c r="Y167" s="48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W168" s="48"/>
      <c r="X168" s="48"/>
      <c r="Y168" s="48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W169" s="48"/>
      <c r="X169" s="48"/>
      <c r="Y169" s="48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W170" s="48"/>
      <c r="X170" s="48"/>
      <c r="Y170" s="48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W171" s="48"/>
      <c r="X171" s="48"/>
      <c r="Y171" s="48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W172" s="48"/>
      <c r="X172" s="48"/>
      <c r="Y172" s="48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W173" s="48"/>
      <c r="X173" s="48"/>
      <c r="Y173" s="48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W174" s="48"/>
      <c r="X174" s="48"/>
      <c r="Y174" s="48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W175" s="48"/>
      <c r="X175" s="48"/>
      <c r="Y175" s="48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W176" s="48"/>
      <c r="X176" s="48"/>
      <c r="Y176" s="48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W177" s="48"/>
      <c r="X177" s="48"/>
      <c r="Y177" s="48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W178" s="48"/>
      <c r="X178" s="48"/>
      <c r="Y178" s="48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W179" s="48"/>
      <c r="X179" s="48"/>
      <c r="Y179" s="48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W180" s="48"/>
      <c r="X180" s="48"/>
      <c r="Y180" s="48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W181" s="48"/>
      <c r="X181" s="48"/>
      <c r="Y181" s="48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W182" s="48"/>
      <c r="X182" s="48"/>
      <c r="Y182" s="48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W183" s="48"/>
      <c r="X183" s="48"/>
      <c r="Y183" s="48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W184" s="48"/>
      <c r="X184" s="48"/>
      <c r="Y184" s="48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W185" s="48"/>
      <c r="X185" s="48"/>
      <c r="Y185" s="48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W186" s="48"/>
      <c r="X186" s="48"/>
      <c r="Y186" s="48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W187" s="48"/>
      <c r="X187" s="48"/>
      <c r="Y187" s="48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W188" s="48"/>
      <c r="X188" s="48"/>
      <c r="Y188" s="48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W189" s="48"/>
      <c r="X189" s="48"/>
      <c r="Y189" s="48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W190" s="48"/>
      <c r="X190" s="48"/>
      <c r="Y190" s="48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W191" s="48"/>
      <c r="X191" s="48"/>
      <c r="Y191" s="48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W192" s="48"/>
      <c r="X192" s="48"/>
      <c r="Y192" s="48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W193" s="48"/>
      <c r="X193" s="48"/>
      <c r="Y193" s="48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W194" s="48"/>
      <c r="X194" s="48"/>
      <c r="Y194" s="48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W195" s="48"/>
      <c r="X195" s="48"/>
      <c r="Y195" s="48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W196" s="48"/>
      <c r="X196" s="48"/>
      <c r="Y196" s="48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W197" s="48"/>
      <c r="X197" s="48"/>
      <c r="Y197" s="48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W198" s="48"/>
      <c r="X198" s="48"/>
      <c r="Y198" s="48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W199" s="48"/>
      <c r="X199" s="48"/>
      <c r="Y199" s="48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W200" s="48"/>
      <c r="X200" s="48"/>
      <c r="Y200" s="48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W201" s="48"/>
      <c r="X201" s="48"/>
      <c r="Y201" s="48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W202" s="48"/>
      <c r="X202" s="48"/>
      <c r="Y202" s="48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W203" s="48"/>
      <c r="X203" s="48"/>
      <c r="Y203" s="48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W204" s="48"/>
      <c r="X204" s="48"/>
      <c r="Y204" s="48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W205" s="48"/>
      <c r="X205" s="48"/>
      <c r="Y205" s="48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W206" s="48"/>
      <c r="X206" s="48"/>
      <c r="Y206" s="48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W207" s="48"/>
      <c r="X207" s="48"/>
      <c r="Y207" s="48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W208" s="48"/>
      <c r="X208" s="48"/>
      <c r="Y208" s="48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W209" s="48"/>
      <c r="X209" s="48"/>
      <c r="Y209" s="48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W210" s="48"/>
      <c r="X210" s="48"/>
      <c r="Y210" s="48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W211" s="48"/>
      <c r="X211" s="48"/>
      <c r="Y211" s="48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W212" s="48"/>
      <c r="X212" s="48"/>
      <c r="Y212" s="48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W213" s="48"/>
      <c r="X213" s="48"/>
      <c r="Y213" s="48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W214" s="48"/>
      <c r="X214" s="48"/>
      <c r="Y214" s="48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W215" s="48"/>
      <c r="X215" s="48"/>
      <c r="Y215" s="48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W216" s="48"/>
      <c r="X216" s="48"/>
      <c r="Y216" s="48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W217" s="48"/>
      <c r="X217" s="48"/>
      <c r="Y217" s="48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W218" s="48"/>
      <c r="X218" s="48"/>
      <c r="Y218" s="48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W219" s="48"/>
      <c r="X219" s="48"/>
      <c r="Y219" s="48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W220" s="48"/>
      <c r="X220" s="48"/>
      <c r="Y220" s="48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W221" s="48"/>
      <c r="X221" s="48"/>
      <c r="Y221" s="48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W222" s="48"/>
      <c r="X222" s="48"/>
      <c r="Y222" s="48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W223" s="48"/>
      <c r="X223" s="48"/>
      <c r="Y223" s="48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W224" s="48"/>
      <c r="X224" s="48"/>
      <c r="Y224" s="48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W225" s="48"/>
      <c r="X225" s="48"/>
      <c r="Y225" s="48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W226" s="48"/>
      <c r="X226" s="48"/>
      <c r="Y226" s="48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W227" s="48"/>
      <c r="X227" s="48"/>
      <c r="Y227" s="48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W228" s="48"/>
      <c r="X228" s="48"/>
      <c r="Y228" s="48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W229" s="48"/>
      <c r="X229" s="48"/>
      <c r="Y229" s="48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W230" s="48"/>
      <c r="X230" s="48"/>
      <c r="Y230" s="48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W231" s="48"/>
      <c r="X231" s="48"/>
      <c r="Y231" s="48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W232" s="48"/>
      <c r="X232" s="48"/>
      <c r="Y232" s="48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W233" s="48"/>
      <c r="X233" s="48"/>
      <c r="Y233" s="48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W234" s="48"/>
      <c r="X234" s="48"/>
      <c r="Y234" s="48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W235" s="48"/>
      <c r="X235" s="48"/>
      <c r="Y235" s="48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W236" s="48"/>
      <c r="X236" s="48"/>
      <c r="Y236" s="48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W237" s="48"/>
      <c r="X237" s="48"/>
      <c r="Y237" s="48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W238" s="48"/>
      <c r="X238" s="48"/>
      <c r="Y238" s="48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W239" s="48"/>
      <c r="X239" s="48"/>
      <c r="Y239" s="48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W240" s="48"/>
      <c r="X240" s="48"/>
      <c r="Y240" s="48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W241" s="48"/>
      <c r="X241" s="48"/>
      <c r="Y241" s="48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W242" s="48"/>
      <c r="X242" s="48"/>
      <c r="Y242" s="48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W243" s="48"/>
      <c r="X243" s="48"/>
      <c r="Y243" s="48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W244" s="48"/>
      <c r="X244" s="48"/>
      <c r="Y244" s="48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W245" s="48"/>
      <c r="X245" s="48"/>
      <c r="Y245" s="48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W246" s="48"/>
      <c r="X246" s="48"/>
      <c r="Y246" s="48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W247" s="48"/>
      <c r="X247" s="48"/>
      <c r="Y247" s="48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W248" s="48"/>
      <c r="X248" s="48"/>
      <c r="Y248" s="48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W249" s="48"/>
      <c r="X249" s="48"/>
      <c r="Y249" s="48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W250" s="48"/>
      <c r="X250" s="48"/>
      <c r="Y250" s="48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W251" s="48"/>
      <c r="X251" s="48"/>
      <c r="Y251" s="48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W252" s="48"/>
      <c r="X252" s="48"/>
      <c r="Y252" s="48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W253" s="48"/>
      <c r="X253" s="48"/>
      <c r="Y253" s="48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W254" s="48"/>
      <c r="X254" s="48"/>
      <c r="Y254" s="48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W255" s="48"/>
      <c r="X255" s="48"/>
      <c r="Y255" s="48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W256" s="48"/>
      <c r="X256" s="48"/>
      <c r="Y256" s="48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W257" s="48"/>
      <c r="X257" s="48"/>
      <c r="Y257" s="48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W258" s="48"/>
      <c r="X258" s="48"/>
      <c r="Y258" s="48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W259" s="48"/>
      <c r="X259" s="48"/>
      <c r="Y259" s="48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W260" s="48"/>
      <c r="X260" s="48"/>
      <c r="Y260" s="48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W261" s="48"/>
      <c r="X261" s="48"/>
      <c r="Y261" s="48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W262" s="48"/>
      <c r="X262" s="48"/>
      <c r="Y262" s="48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W263" s="48"/>
      <c r="X263" s="48"/>
      <c r="Y263" s="48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W264" s="48"/>
      <c r="X264" s="48"/>
      <c r="Y264" s="48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W265" s="48"/>
      <c r="X265" s="48"/>
      <c r="Y265" s="48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W266" s="48"/>
      <c r="X266" s="48"/>
      <c r="Y266" s="48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W267" s="48"/>
      <c r="X267" s="48"/>
      <c r="Y267" s="48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W268" s="48"/>
      <c r="X268" s="48"/>
      <c r="Y268" s="48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W269" s="48"/>
      <c r="X269" s="48"/>
      <c r="Y269" s="48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W270" s="48"/>
      <c r="X270" s="48"/>
      <c r="Y270" s="48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W271" s="48"/>
      <c r="X271" s="48"/>
      <c r="Y271" s="48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W272" s="48"/>
      <c r="X272" s="48"/>
      <c r="Y272" s="48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W273" s="48"/>
      <c r="X273" s="48"/>
      <c r="Y273" s="48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W274" s="48"/>
      <c r="X274" s="48"/>
      <c r="Y274" s="48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W275" s="48"/>
      <c r="X275" s="48"/>
      <c r="Y275" s="48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W276" s="48"/>
      <c r="X276" s="48"/>
      <c r="Y276" s="48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W277" s="48"/>
      <c r="X277" s="48"/>
      <c r="Y277" s="48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W278" s="48"/>
      <c r="X278" s="48"/>
      <c r="Y278" s="48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W279" s="48"/>
      <c r="X279" s="48"/>
      <c r="Y279" s="48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W280" s="48"/>
      <c r="X280" s="48"/>
      <c r="Y280" s="48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W281" s="48"/>
      <c r="X281" s="48"/>
      <c r="Y281" s="48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W282" s="48"/>
      <c r="X282" s="48"/>
      <c r="Y282" s="48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W283" s="48"/>
      <c r="X283" s="48"/>
      <c r="Y283" s="48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W284" s="48"/>
      <c r="X284" s="48"/>
      <c r="Y284" s="48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W285" s="48"/>
      <c r="X285" s="48"/>
      <c r="Y285" s="48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W286" s="48"/>
      <c r="X286" s="48"/>
      <c r="Y286" s="48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W287" s="48"/>
      <c r="X287" s="48"/>
      <c r="Y287" s="48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W288" s="48"/>
      <c r="X288" s="48"/>
      <c r="Y288" s="48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W289" s="48"/>
      <c r="X289" s="48"/>
      <c r="Y289" s="48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W290" s="48"/>
      <c r="X290" s="48"/>
      <c r="Y290" s="48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W291" s="48"/>
      <c r="X291" s="48"/>
      <c r="Y291" s="48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W292" s="48"/>
      <c r="X292" s="48"/>
      <c r="Y292" s="48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W293" s="48"/>
      <c r="X293" s="48"/>
      <c r="Y293" s="48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W294" s="48"/>
      <c r="X294" s="48"/>
      <c r="Y294" s="48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W295" s="48"/>
      <c r="X295" s="48"/>
      <c r="Y295" s="48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W296" s="48"/>
      <c r="X296" s="48"/>
      <c r="Y296" s="48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W297" s="48"/>
      <c r="X297" s="48"/>
      <c r="Y297" s="48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W298" s="48"/>
      <c r="X298" s="48"/>
      <c r="Y298" s="48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W299" s="48"/>
      <c r="X299" s="48"/>
      <c r="Y299" s="48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W300" s="48"/>
      <c r="X300" s="48"/>
      <c r="Y300" s="48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W301" s="48"/>
      <c r="X301" s="48"/>
      <c r="Y301" s="48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W302" s="48"/>
      <c r="X302" s="48"/>
      <c r="Y302" s="48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W303" s="48"/>
      <c r="X303" s="48"/>
      <c r="Y303" s="48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W304" s="48"/>
      <c r="X304" s="48"/>
      <c r="Y304" s="48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W305" s="48"/>
      <c r="X305" s="48"/>
      <c r="Y305" s="48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W306" s="48"/>
      <c r="X306" s="48"/>
      <c r="Y306" s="48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W307" s="48"/>
      <c r="X307" s="48"/>
      <c r="Y307" s="48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W308" s="48"/>
      <c r="X308" s="48"/>
      <c r="Y308" s="48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W309" s="48"/>
      <c r="X309" s="48"/>
      <c r="Y309" s="48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W310" s="48"/>
      <c r="X310" s="48"/>
      <c r="Y310" s="48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W311" s="48"/>
      <c r="X311" s="48"/>
      <c r="Y311" s="48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W312" s="48"/>
      <c r="X312" s="48"/>
      <c r="Y312" s="48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W313" s="48"/>
      <c r="X313" s="48"/>
      <c r="Y313" s="48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W314" s="48"/>
      <c r="X314" s="48"/>
      <c r="Y314" s="48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W315" s="48"/>
      <c r="X315" s="48"/>
      <c r="Y315" s="48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W316" s="48"/>
      <c r="X316" s="48"/>
      <c r="Y316" s="48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W317" s="48"/>
      <c r="X317" s="48"/>
      <c r="Y317" s="48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W318" s="48"/>
      <c r="X318" s="48"/>
      <c r="Y318" s="48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W319" s="48"/>
      <c r="X319" s="48"/>
      <c r="Y319" s="48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W320" s="48"/>
      <c r="X320" s="48"/>
      <c r="Y320" s="48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W321" s="48"/>
      <c r="X321" s="48"/>
      <c r="Y321" s="48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W322" s="48"/>
      <c r="X322" s="48"/>
      <c r="Y322" s="48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W323" s="48"/>
      <c r="X323" s="48"/>
      <c r="Y323" s="48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W324" s="48"/>
      <c r="X324" s="48"/>
      <c r="Y324" s="48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W325" s="48"/>
      <c r="X325" s="48"/>
      <c r="Y325" s="48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W326" s="48"/>
      <c r="X326" s="48"/>
      <c r="Y326" s="48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W327" s="48"/>
      <c r="X327" s="48"/>
      <c r="Y327" s="48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W328" s="48"/>
      <c r="X328" s="48"/>
      <c r="Y328" s="48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W329" s="48"/>
      <c r="X329" s="48"/>
      <c r="Y329" s="48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W330" s="48"/>
      <c r="X330" s="48"/>
      <c r="Y330" s="48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W331" s="48"/>
      <c r="X331" s="48"/>
      <c r="Y331" s="48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W332" s="48"/>
      <c r="X332" s="48"/>
      <c r="Y332" s="48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W333" s="48"/>
      <c r="X333" s="48"/>
      <c r="Y333" s="48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W334" s="48"/>
      <c r="X334" s="48"/>
      <c r="Y334" s="48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W335" s="48"/>
      <c r="X335" s="48"/>
      <c r="Y335" s="48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W336" s="48"/>
      <c r="X336" s="48"/>
      <c r="Y336" s="48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W337" s="48"/>
      <c r="X337" s="48"/>
      <c r="Y337" s="48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W338" s="48"/>
      <c r="X338" s="48"/>
      <c r="Y338" s="48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W339" s="48"/>
      <c r="X339" s="48"/>
      <c r="Y339" s="48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W340" s="48"/>
      <c r="X340" s="48"/>
      <c r="Y340" s="48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W341" s="48"/>
      <c r="X341" s="48"/>
      <c r="Y341" s="48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W342" s="48"/>
      <c r="X342" s="48"/>
      <c r="Y342" s="48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W343" s="48"/>
      <c r="X343" s="48"/>
      <c r="Y343" s="48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W344" s="48"/>
      <c r="X344" s="48"/>
      <c r="Y344" s="48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W345" s="48"/>
      <c r="X345" s="48"/>
      <c r="Y345" s="48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W346" s="48"/>
      <c r="X346" s="48"/>
      <c r="Y346" s="48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W347" s="48"/>
      <c r="X347" s="48"/>
      <c r="Y347" s="48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W348" s="48"/>
      <c r="X348" s="48"/>
      <c r="Y348" s="48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W349" s="48"/>
      <c r="X349" s="48"/>
      <c r="Y349" s="48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W350" s="48"/>
      <c r="X350" s="48"/>
      <c r="Y350" s="48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W351" s="48"/>
      <c r="X351" s="48"/>
      <c r="Y351" s="48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W352" s="48"/>
      <c r="X352" s="48"/>
      <c r="Y352" s="48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W353" s="48"/>
      <c r="X353" s="48"/>
      <c r="Y353" s="48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W354" s="48"/>
      <c r="X354" s="48"/>
      <c r="Y354" s="48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W355" s="48"/>
      <c r="X355" s="48"/>
      <c r="Y355" s="48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W356" s="48"/>
      <c r="X356" s="48"/>
      <c r="Y356" s="48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W357" s="48"/>
      <c r="X357" s="48"/>
      <c r="Y357" s="48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W358" s="48"/>
      <c r="X358" s="48"/>
      <c r="Y358" s="48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W359" s="48"/>
      <c r="X359" s="48"/>
      <c r="Y359" s="48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W360" s="48"/>
      <c r="X360" s="48"/>
      <c r="Y360" s="48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W361" s="48"/>
      <c r="X361" s="48"/>
      <c r="Y361" s="48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W362" s="48"/>
      <c r="X362" s="48"/>
      <c r="Y362" s="48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W363" s="48"/>
      <c r="X363" s="48"/>
      <c r="Y363" s="48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W364" s="48"/>
      <c r="X364" s="48"/>
      <c r="Y364" s="48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W365" s="48"/>
      <c r="X365" s="48"/>
      <c r="Y365" s="48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W366" s="48"/>
      <c r="X366" s="48"/>
      <c r="Y366" s="48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W367" s="48"/>
      <c r="X367" s="48"/>
      <c r="Y367" s="48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W368" s="48"/>
      <c r="X368" s="48"/>
      <c r="Y368" s="48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W369" s="48"/>
      <c r="X369" s="48"/>
      <c r="Y369" s="48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W370" s="48"/>
      <c r="X370" s="48"/>
      <c r="Y370" s="48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W371" s="48"/>
      <c r="X371" s="48"/>
      <c r="Y371" s="48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W372" s="48"/>
      <c r="X372" s="48"/>
      <c r="Y372" s="48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W373" s="48"/>
      <c r="X373" s="48"/>
      <c r="Y373" s="48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W374" s="48"/>
      <c r="X374" s="48"/>
      <c r="Y374" s="48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W375" s="48"/>
      <c r="X375" s="48"/>
      <c r="Y375" s="48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W376" s="48"/>
      <c r="X376" s="48"/>
      <c r="Y376" s="48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W377" s="48"/>
      <c r="X377" s="48"/>
      <c r="Y377" s="48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W378" s="48"/>
      <c r="X378" s="48"/>
      <c r="Y378" s="48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W379" s="48"/>
      <c r="X379" s="48"/>
      <c r="Y379" s="48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W380" s="48"/>
      <c r="X380" s="48"/>
      <c r="Y380" s="48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W381" s="48"/>
      <c r="X381" s="48"/>
      <c r="Y381" s="48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W382" s="48"/>
      <c r="X382" s="48"/>
      <c r="Y382" s="48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W383" s="48"/>
      <c r="X383" s="48"/>
      <c r="Y383" s="48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W384" s="48"/>
      <c r="X384" s="48"/>
      <c r="Y384" s="48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W385" s="48"/>
      <c r="X385" s="48"/>
      <c r="Y385" s="48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W386" s="48"/>
      <c r="X386" s="48"/>
      <c r="Y386" s="48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W387" s="48"/>
      <c r="X387" s="48"/>
      <c r="Y387" s="48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W388" s="48"/>
      <c r="X388" s="48"/>
      <c r="Y388" s="48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W389" s="48"/>
      <c r="X389" s="48"/>
      <c r="Y389" s="48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W390" s="48"/>
      <c r="X390" s="48"/>
      <c r="Y390" s="48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W391" s="48"/>
      <c r="X391" s="48"/>
      <c r="Y391" s="48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W392" s="48"/>
      <c r="X392" s="48"/>
      <c r="Y392" s="48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W393" s="48"/>
      <c r="X393" s="48"/>
      <c r="Y393" s="48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W394" s="48"/>
      <c r="X394" s="48"/>
      <c r="Y394" s="48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W395" s="48"/>
      <c r="X395" s="48"/>
      <c r="Y395" s="48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W396" s="48"/>
      <c r="X396" s="48"/>
      <c r="Y396" s="48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W397" s="48"/>
      <c r="X397" s="48"/>
      <c r="Y397" s="48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W398" s="48"/>
      <c r="X398" s="48"/>
      <c r="Y398" s="48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W399" s="48"/>
      <c r="X399" s="48"/>
      <c r="Y399" s="48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W400" s="48"/>
      <c r="X400" s="48"/>
      <c r="Y400" s="48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W401" s="48"/>
      <c r="X401" s="48"/>
      <c r="Y401" s="48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W402" s="48"/>
      <c r="X402" s="48"/>
      <c r="Y402" s="48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W403" s="48"/>
      <c r="X403" s="48"/>
      <c r="Y403" s="48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W404" s="48"/>
      <c r="X404" s="48"/>
      <c r="Y404" s="48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W405" s="48"/>
      <c r="X405" s="48"/>
      <c r="Y405" s="48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W406" s="48"/>
      <c r="X406" s="48"/>
      <c r="Y406" s="48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W407" s="48"/>
      <c r="X407" s="48"/>
      <c r="Y407" s="48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W408" s="48"/>
      <c r="X408" s="48"/>
      <c r="Y408" s="48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W409" s="48"/>
      <c r="X409" s="48"/>
      <c r="Y409" s="48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W410" s="48"/>
      <c r="X410" s="48"/>
      <c r="Y410" s="48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W411" s="48"/>
      <c r="X411" s="48"/>
      <c r="Y411" s="48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W412" s="48"/>
      <c r="X412" s="48"/>
      <c r="Y412" s="48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W413" s="48"/>
      <c r="X413" s="48"/>
      <c r="Y413" s="48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W414" s="48"/>
      <c r="X414" s="48"/>
      <c r="Y414" s="48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W415" s="48"/>
      <c r="X415" s="48"/>
      <c r="Y415" s="48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W416" s="48"/>
      <c r="X416" s="48"/>
      <c r="Y416" s="48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W417" s="48"/>
      <c r="X417" s="48"/>
      <c r="Y417" s="48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W418" s="48"/>
      <c r="X418" s="48"/>
      <c r="Y418" s="48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W419" s="48"/>
      <c r="X419" s="48"/>
      <c r="Y419" s="48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W420" s="48"/>
      <c r="X420" s="48"/>
      <c r="Y420" s="48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W421" s="48"/>
      <c r="X421" s="48"/>
      <c r="Y421" s="48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W422" s="48"/>
      <c r="X422" s="48"/>
      <c r="Y422" s="48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W423" s="48"/>
      <c r="X423" s="48"/>
      <c r="Y423" s="48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W424" s="48"/>
      <c r="X424" s="48"/>
      <c r="Y424" s="48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W425" s="48"/>
      <c r="X425" s="48"/>
      <c r="Y425" s="48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W426" s="48"/>
      <c r="X426" s="48"/>
      <c r="Y426" s="48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W427" s="48"/>
      <c r="X427" s="48"/>
      <c r="Y427" s="48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W428" s="48"/>
      <c r="X428" s="48"/>
      <c r="Y428" s="48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W429" s="48"/>
      <c r="X429" s="48"/>
      <c r="Y429" s="48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W430" s="48"/>
      <c r="X430" s="48"/>
      <c r="Y430" s="48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W431" s="48"/>
      <c r="X431" s="48"/>
      <c r="Y431" s="48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W432" s="48"/>
      <c r="X432" s="48"/>
      <c r="Y432" s="48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W433" s="48"/>
      <c r="X433" s="48"/>
      <c r="Y433" s="48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W434" s="48"/>
      <c r="X434" s="48"/>
      <c r="Y434" s="48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W435" s="48"/>
      <c r="X435" s="48"/>
      <c r="Y435" s="48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W436" s="48"/>
      <c r="X436" s="48"/>
      <c r="Y436" s="48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W437" s="48"/>
      <c r="X437" s="48"/>
      <c r="Y437" s="48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W438" s="48"/>
      <c r="X438" s="48"/>
      <c r="Y438" s="48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W439" s="48"/>
      <c r="X439" s="48"/>
      <c r="Y439" s="48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W440" s="48"/>
      <c r="X440" s="48"/>
      <c r="Y440" s="48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W441" s="48"/>
      <c r="X441" s="48"/>
      <c r="Y441" s="48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W442" s="48"/>
      <c r="X442" s="48"/>
      <c r="Y442" s="48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W443" s="48"/>
      <c r="X443" s="48"/>
      <c r="Y443" s="48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W444" s="48"/>
      <c r="X444" s="48"/>
      <c r="Y444" s="48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W445" s="48"/>
      <c r="X445" s="48"/>
      <c r="Y445" s="48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W446" s="48"/>
      <c r="X446" s="48"/>
      <c r="Y446" s="48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W447" s="48"/>
      <c r="X447" s="48"/>
      <c r="Y447" s="48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W448" s="48"/>
      <c r="X448" s="48"/>
      <c r="Y448" s="48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W449" s="48"/>
      <c r="X449" s="48"/>
      <c r="Y449" s="48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W450" s="48"/>
      <c r="X450" s="48"/>
      <c r="Y450" s="48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W451" s="48"/>
      <c r="X451" s="48"/>
      <c r="Y451" s="48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W452" s="48"/>
      <c r="X452" s="48"/>
      <c r="Y452" s="48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W453" s="48"/>
      <c r="X453" s="48"/>
      <c r="Y453" s="48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W454" s="48"/>
      <c r="X454" s="48"/>
      <c r="Y454" s="48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W455" s="48"/>
      <c r="X455" s="48"/>
      <c r="Y455" s="48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W456" s="48"/>
      <c r="X456" s="48"/>
      <c r="Y456" s="48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W457" s="48"/>
      <c r="X457" s="48"/>
      <c r="Y457" s="48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W458" s="48"/>
      <c r="X458" s="48"/>
      <c r="Y458" s="48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W459" s="48"/>
      <c r="X459" s="48"/>
      <c r="Y459" s="48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W460" s="48"/>
      <c r="X460" s="48"/>
      <c r="Y460" s="48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W461" s="48"/>
      <c r="X461" s="48"/>
      <c r="Y461" s="48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W462" s="48"/>
      <c r="X462" s="48"/>
      <c r="Y462" s="48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W463" s="48"/>
      <c r="X463" s="48"/>
      <c r="Y463" s="48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W464" s="48"/>
      <c r="X464" s="48"/>
      <c r="Y464" s="48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W465" s="48"/>
      <c r="X465" s="48"/>
      <c r="Y465" s="48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W466" s="48"/>
      <c r="X466" s="48"/>
      <c r="Y466" s="48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W467" s="48"/>
      <c r="X467" s="48"/>
      <c r="Y467" s="48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W468" s="48"/>
      <c r="X468" s="48"/>
      <c r="Y468" s="48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W469" s="48"/>
      <c r="X469" s="48"/>
      <c r="Y469" s="48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W470" s="48"/>
      <c r="X470" s="48"/>
      <c r="Y470" s="48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W471" s="48"/>
      <c r="X471" s="48"/>
      <c r="Y471" s="48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W472" s="48"/>
      <c r="X472" s="48"/>
      <c r="Y472" s="48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W473" s="48"/>
      <c r="X473" s="48"/>
      <c r="Y473" s="48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W474" s="48"/>
      <c r="X474" s="48"/>
      <c r="Y474" s="48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W475" s="48"/>
      <c r="X475" s="48"/>
      <c r="Y475" s="48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W476" s="48"/>
      <c r="X476" s="48"/>
      <c r="Y476" s="48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W477" s="48"/>
      <c r="X477" s="48"/>
      <c r="Y477" s="48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W478" s="48"/>
      <c r="X478" s="48"/>
      <c r="Y478" s="48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W479" s="48"/>
      <c r="X479" s="48"/>
      <c r="Y479" s="48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W480" s="48"/>
      <c r="X480" s="48"/>
      <c r="Y480" s="48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W481" s="48"/>
      <c r="X481" s="48"/>
      <c r="Y481" s="48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W482" s="48"/>
      <c r="X482" s="48"/>
      <c r="Y482" s="48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W483" s="48"/>
      <c r="X483" s="48"/>
      <c r="Y483" s="48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W484" s="48"/>
      <c r="X484" s="48"/>
      <c r="Y484" s="48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W485" s="48"/>
      <c r="X485" s="48"/>
      <c r="Y485" s="48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W486" s="48"/>
      <c r="X486" s="48"/>
      <c r="Y486" s="48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W487" s="48"/>
      <c r="X487" s="48"/>
      <c r="Y487" s="48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W488" s="48"/>
      <c r="X488" s="48"/>
      <c r="Y488" s="48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W489" s="48"/>
      <c r="X489" s="48"/>
      <c r="Y489" s="48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W490" s="48"/>
      <c r="X490" s="48"/>
      <c r="Y490" s="48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W491" s="48"/>
      <c r="X491" s="48"/>
      <c r="Y491" s="48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W492" s="48"/>
      <c r="X492" s="48"/>
      <c r="Y492" s="48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W493" s="48"/>
      <c r="X493" s="48"/>
      <c r="Y493" s="48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W494" s="48"/>
      <c r="X494" s="48"/>
      <c r="Y494" s="48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W495" s="48"/>
      <c r="X495" s="48"/>
      <c r="Y495" s="48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W496" s="48"/>
      <c r="X496" s="48"/>
      <c r="Y496" s="48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W497" s="48"/>
      <c r="X497" s="48"/>
      <c r="Y497" s="48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W498" s="48"/>
      <c r="X498" s="48"/>
      <c r="Y498" s="48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W499" s="48"/>
      <c r="X499" s="48"/>
      <c r="Y499" s="48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W500" s="48"/>
      <c r="X500" s="48"/>
      <c r="Y500" s="48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W501" s="48"/>
      <c r="X501" s="48"/>
      <c r="Y501" s="48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W502" s="48"/>
      <c r="X502" s="48"/>
      <c r="Y502" s="48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W503" s="48"/>
      <c r="X503" s="48"/>
      <c r="Y503" s="48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W504" s="48"/>
      <c r="X504" s="48"/>
      <c r="Y504" s="48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W505" s="48"/>
      <c r="X505" s="48"/>
      <c r="Y505" s="48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W506" s="48"/>
      <c r="X506" s="48"/>
      <c r="Y506" s="48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W507" s="48"/>
      <c r="X507" s="48"/>
      <c r="Y507" s="48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W508" s="48"/>
      <c r="X508" s="48"/>
      <c r="Y508" s="48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W509" s="48"/>
      <c r="X509" s="48"/>
      <c r="Y509" s="48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W510" s="48"/>
      <c r="X510" s="48"/>
      <c r="Y510" s="48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W511" s="48"/>
      <c r="X511" s="48"/>
      <c r="Y511" s="48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W512" s="48"/>
      <c r="X512" s="48"/>
      <c r="Y512" s="48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W513" s="48"/>
      <c r="X513" s="48"/>
      <c r="Y513" s="48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W514" s="48"/>
      <c r="X514" s="48"/>
      <c r="Y514" s="48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W515" s="48"/>
      <c r="X515" s="48"/>
      <c r="Y515" s="48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W516" s="48"/>
      <c r="X516" s="48"/>
      <c r="Y516" s="48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W517" s="48"/>
      <c r="X517" s="48"/>
      <c r="Y517" s="48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W518" s="48"/>
      <c r="X518" s="48"/>
      <c r="Y518" s="48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W519" s="48"/>
      <c r="X519" s="48"/>
      <c r="Y519" s="48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W520" s="48"/>
      <c r="X520" s="48"/>
      <c r="Y520" s="48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W521" s="48"/>
      <c r="X521" s="48"/>
      <c r="Y521" s="48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W522" s="48"/>
      <c r="X522" s="48"/>
      <c r="Y522" s="48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W523" s="48"/>
      <c r="X523" s="48"/>
      <c r="Y523" s="48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W524" s="48"/>
      <c r="X524" s="48"/>
      <c r="Y524" s="48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W525" s="48"/>
      <c r="X525" s="48"/>
      <c r="Y525" s="48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W526" s="48"/>
      <c r="X526" s="48"/>
      <c r="Y526" s="48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W527" s="48"/>
      <c r="X527" s="48"/>
      <c r="Y527" s="48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W528" s="48"/>
      <c r="X528" s="48"/>
      <c r="Y528" s="48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W529" s="48"/>
      <c r="X529" s="48"/>
      <c r="Y529" s="48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W530" s="48"/>
      <c r="X530" s="48"/>
      <c r="Y530" s="48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W531" s="48"/>
      <c r="X531" s="48"/>
      <c r="Y531" s="48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W532" s="48"/>
      <c r="X532" s="48"/>
      <c r="Y532" s="48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W533" s="48"/>
      <c r="X533" s="48"/>
      <c r="Y533" s="48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W534" s="48"/>
      <c r="X534" s="48"/>
      <c r="Y534" s="48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W535" s="48"/>
      <c r="X535" s="48"/>
      <c r="Y535" s="48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W536" s="48"/>
      <c r="X536" s="48"/>
      <c r="Y536" s="48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W537" s="48"/>
      <c r="X537" s="48"/>
      <c r="Y537" s="48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W538" s="48"/>
      <c r="X538" s="48"/>
      <c r="Y538" s="48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W539" s="48"/>
      <c r="X539" s="48"/>
      <c r="Y539" s="48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W540" s="48"/>
      <c r="X540" s="48"/>
      <c r="Y540" s="48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W541" s="48"/>
      <c r="X541" s="48"/>
      <c r="Y541" s="48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W542" s="48"/>
      <c r="X542" s="48"/>
      <c r="Y542" s="48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W543" s="48"/>
      <c r="X543" s="48"/>
      <c r="Y543" s="48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W544" s="48"/>
      <c r="X544" s="48"/>
      <c r="Y544" s="48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W545" s="48"/>
      <c r="X545" s="48"/>
      <c r="Y545" s="48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W546" s="48"/>
      <c r="X546" s="48"/>
      <c r="Y546" s="48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W547" s="48"/>
      <c r="X547" s="48"/>
      <c r="Y547" s="48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W548" s="48"/>
      <c r="X548" s="48"/>
      <c r="Y548" s="48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W549" s="48"/>
      <c r="X549" s="48"/>
      <c r="Y549" s="48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W550" s="48"/>
      <c r="X550" s="48"/>
      <c r="Y550" s="48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W551" s="48"/>
      <c r="X551" s="48"/>
      <c r="Y551" s="48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W552" s="48"/>
      <c r="X552" s="48"/>
      <c r="Y552" s="48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W553" s="48"/>
      <c r="X553" s="48"/>
      <c r="Y553" s="48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W554" s="48"/>
      <c r="X554" s="48"/>
      <c r="Y554" s="48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W555" s="48"/>
      <c r="X555" s="48"/>
      <c r="Y555" s="48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W556" s="48"/>
      <c r="X556" s="48"/>
      <c r="Y556" s="48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W557" s="48"/>
      <c r="X557" s="48"/>
      <c r="Y557" s="48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W558" s="48"/>
      <c r="X558" s="48"/>
      <c r="Y558" s="48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W559" s="48"/>
      <c r="X559" s="48"/>
      <c r="Y559" s="48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W560" s="48"/>
      <c r="X560" s="48"/>
      <c r="Y560" s="48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W561" s="48"/>
      <c r="X561" s="48"/>
      <c r="Y561" s="48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W562" s="48"/>
      <c r="X562" s="48"/>
      <c r="Y562" s="48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W563" s="48"/>
      <c r="X563" s="48"/>
      <c r="Y563" s="48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W564" s="48"/>
      <c r="X564" s="48"/>
      <c r="Y564" s="48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W565" s="48"/>
      <c r="X565" s="48"/>
      <c r="Y565" s="48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W566" s="48"/>
      <c r="X566" s="48"/>
      <c r="Y566" s="48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W567" s="48"/>
      <c r="X567" s="48"/>
      <c r="Y567" s="48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W568" s="48"/>
      <c r="X568" s="48"/>
      <c r="Y568" s="48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W569" s="48"/>
      <c r="X569" s="48"/>
      <c r="Y569" s="48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W570" s="48"/>
      <c r="X570" s="48"/>
      <c r="Y570" s="48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W571" s="48"/>
      <c r="X571" s="48"/>
      <c r="Y571" s="48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W572" s="48"/>
      <c r="X572" s="48"/>
      <c r="Y572" s="48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W573" s="48"/>
      <c r="X573" s="48"/>
      <c r="Y573" s="48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W574" s="48"/>
      <c r="X574" s="48"/>
      <c r="Y574" s="48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W575" s="48"/>
      <c r="X575" s="48"/>
      <c r="Y575" s="48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W576" s="48"/>
      <c r="X576" s="48"/>
      <c r="Y576" s="48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W577" s="48"/>
      <c r="X577" s="48"/>
      <c r="Y577" s="48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W578" s="48"/>
      <c r="X578" s="48"/>
      <c r="Y578" s="48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W579" s="48"/>
      <c r="X579" s="48"/>
      <c r="Y579" s="48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W580" s="48"/>
      <c r="X580" s="48"/>
      <c r="Y580" s="48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W581" s="48"/>
      <c r="X581" s="48"/>
      <c r="Y581" s="48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W582" s="48"/>
      <c r="X582" s="48"/>
      <c r="Y582" s="48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W583" s="48"/>
      <c r="X583" s="48"/>
      <c r="Y583" s="48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W584" s="48"/>
      <c r="X584" s="48"/>
      <c r="Y584" s="48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W585" s="48"/>
      <c r="X585" s="48"/>
      <c r="Y585" s="48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W586" s="48"/>
      <c r="X586" s="48"/>
      <c r="Y586" s="48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W587" s="48"/>
      <c r="X587" s="48"/>
      <c r="Y587" s="48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W588" s="48"/>
      <c r="X588" s="48"/>
      <c r="Y588" s="48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W589" s="48"/>
      <c r="X589" s="48"/>
      <c r="Y589" s="48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W590" s="48"/>
      <c r="X590" s="48"/>
      <c r="Y590" s="48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W591" s="48"/>
      <c r="X591" s="48"/>
      <c r="Y591" s="48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W592" s="48"/>
      <c r="X592" s="48"/>
      <c r="Y592" s="48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W593" s="48"/>
      <c r="X593" s="48"/>
      <c r="Y593" s="48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W594" s="48"/>
      <c r="X594" s="48"/>
      <c r="Y594" s="48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W595" s="48"/>
      <c r="X595" s="48"/>
      <c r="Y595" s="48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W596" s="48"/>
      <c r="X596" s="48"/>
      <c r="Y596" s="48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W597" s="48"/>
      <c r="X597" s="48"/>
      <c r="Y597" s="48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W598" s="48"/>
      <c r="X598" s="48"/>
      <c r="Y598" s="48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W599" s="48"/>
      <c r="X599" s="48"/>
      <c r="Y599" s="48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W600" s="48"/>
      <c r="X600" s="48"/>
      <c r="Y600" s="48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W601" s="48"/>
      <c r="X601" s="48"/>
      <c r="Y601" s="48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W602" s="48"/>
      <c r="X602" s="48"/>
      <c r="Y602" s="48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W603" s="48"/>
      <c r="X603" s="48"/>
      <c r="Y603" s="48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W604" s="48"/>
      <c r="X604" s="48"/>
      <c r="Y604" s="48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W605" s="48"/>
      <c r="X605" s="48"/>
      <c r="Y605" s="48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W606" s="48"/>
      <c r="X606" s="48"/>
      <c r="Y606" s="48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W607" s="48"/>
      <c r="X607" s="48"/>
      <c r="Y607" s="48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W608" s="48"/>
      <c r="X608" s="48"/>
      <c r="Y608" s="48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W609" s="48"/>
      <c r="X609" s="48"/>
      <c r="Y609" s="48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W610" s="48"/>
      <c r="X610" s="48"/>
      <c r="Y610" s="48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W611" s="48"/>
      <c r="X611" s="48"/>
      <c r="Y611" s="48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W612" s="48"/>
      <c r="X612" s="48"/>
      <c r="Y612" s="48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W613" s="48"/>
      <c r="X613" s="48"/>
      <c r="Y613" s="48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W614" s="48"/>
      <c r="X614" s="48"/>
      <c r="Y614" s="48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W615" s="48"/>
      <c r="X615" s="48"/>
      <c r="Y615" s="48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W616" s="48"/>
      <c r="X616" s="48"/>
      <c r="Y616" s="48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W617" s="48"/>
      <c r="X617" s="48"/>
      <c r="Y617" s="48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W618" s="48"/>
      <c r="X618" s="48"/>
      <c r="Y618" s="48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W619" s="48"/>
      <c r="X619" s="48"/>
      <c r="Y619" s="48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W620" s="48"/>
      <c r="X620" s="48"/>
      <c r="Y620" s="48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W621" s="48"/>
      <c r="X621" s="48"/>
      <c r="Y621" s="48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W622" s="48"/>
      <c r="X622" s="48"/>
      <c r="Y622" s="48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W623" s="48"/>
      <c r="X623" s="48"/>
      <c r="Y623" s="48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W624" s="48"/>
      <c r="X624" s="48"/>
      <c r="Y624" s="48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W625" s="48"/>
      <c r="X625" s="48"/>
      <c r="Y625" s="48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W626" s="48"/>
      <c r="X626" s="48"/>
      <c r="Y626" s="48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W627" s="48"/>
      <c r="X627" s="48"/>
      <c r="Y627" s="48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W628" s="48"/>
      <c r="X628" s="48"/>
      <c r="Y628" s="48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W629" s="48"/>
      <c r="X629" s="48"/>
      <c r="Y629" s="48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W630" s="48"/>
      <c r="X630" s="48"/>
      <c r="Y630" s="48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W631" s="48"/>
      <c r="X631" s="48"/>
      <c r="Y631" s="48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W632" s="48"/>
      <c r="X632" s="48"/>
      <c r="Y632" s="48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W633" s="48"/>
      <c r="X633" s="48"/>
      <c r="Y633" s="48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W634" s="48"/>
      <c r="X634" s="48"/>
      <c r="Y634" s="48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W635" s="48"/>
      <c r="X635" s="48"/>
      <c r="Y635" s="48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W636" s="48"/>
      <c r="X636" s="48"/>
      <c r="Y636" s="48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W637" s="48"/>
      <c r="X637" s="48"/>
      <c r="Y637" s="48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W638" s="48"/>
      <c r="X638" s="48"/>
      <c r="Y638" s="48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W639" s="48"/>
      <c r="X639" s="48"/>
      <c r="Y639" s="48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W640" s="48"/>
      <c r="X640" s="48"/>
      <c r="Y640" s="48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W641" s="48"/>
      <c r="X641" s="48"/>
      <c r="Y641" s="48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W642" s="48"/>
      <c r="X642" s="48"/>
      <c r="Y642" s="48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W643" s="48"/>
      <c r="X643" s="48"/>
      <c r="Y643" s="48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W644" s="48"/>
      <c r="X644" s="48"/>
      <c r="Y644" s="48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W645" s="48"/>
      <c r="X645" s="48"/>
      <c r="Y645" s="48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W646" s="48"/>
      <c r="X646" s="48"/>
      <c r="Y646" s="48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W647" s="48"/>
      <c r="X647" s="48"/>
      <c r="Y647" s="48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W648" s="48"/>
      <c r="X648" s="48"/>
      <c r="Y648" s="48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W649" s="48"/>
      <c r="X649" s="48"/>
      <c r="Y649" s="48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W650" s="48"/>
      <c r="X650" s="48"/>
      <c r="Y650" s="48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W651" s="48"/>
      <c r="X651" s="48"/>
      <c r="Y651" s="48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W652" s="48"/>
      <c r="X652" s="48"/>
      <c r="Y652" s="48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W653" s="48"/>
      <c r="X653" s="48"/>
      <c r="Y653" s="48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W654" s="48"/>
      <c r="X654" s="48"/>
      <c r="Y654" s="48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W655" s="48"/>
      <c r="X655" s="48"/>
      <c r="Y655" s="48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W656" s="48"/>
      <c r="X656" s="48"/>
      <c r="Y656" s="48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W657" s="48"/>
      <c r="X657" s="48"/>
      <c r="Y657" s="48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W658" s="48"/>
      <c r="X658" s="48"/>
      <c r="Y658" s="48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W659" s="48"/>
      <c r="X659" s="48"/>
      <c r="Y659" s="48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W660" s="48"/>
      <c r="X660" s="48"/>
      <c r="Y660" s="48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W661" s="48"/>
      <c r="X661" s="48"/>
      <c r="Y661" s="48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W662" s="48"/>
      <c r="X662" s="48"/>
      <c r="Y662" s="48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W663" s="48"/>
      <c r="X663" s="48"/>
      <c r="Y663" s="48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W664" s="48"/>
      <c r="X664" s="48"/>
      <c r="Y664" s="48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W665" s="48"/>
      <c r="X665" s="48"/>
      <c r="Y665" s="48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W666" s="48"/>
      <c r="X666" s="48"/>
      <c r="Y666" s="48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W667" s="48"/>
      <c r="X667" s="48"/>
      <c r="Y667" s="48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W668" s="48"/>
      <c r="X668" s="48"/>
      <c r="Y668" s="48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W669" s="48"/>
      <c r="X669" s="48"/>
      <c r="Y669" s="48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W670" s="48"/>
      <c r="X670" s="48"/>
      <c r="Y670" s="48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W671" s="48"/>
      <c r="X671" s="48"/>
      <c r="Y671" s="48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W672" s="48"/>
      <c r="X672" s="48"/>
      <c r="Y672" s="48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W673" s="48"/>
      <c r="X673" s="48"/>
      <c r="Y673" s="48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W674" s="48"/>
      <c r="X674" s="48"/>
      <c r="Y674" s="48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W675" s="48"/>
      <c r="X675" s="48"/>
      <c r="Y675" s="48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W676" s="48"/>
      <c r="X676" s="48"/>
      <c r="Y676" s="48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W677" s="48"/>
      <c r="X677" s="48"/>
      <c r="Y677" s="48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W678" s="48"/>
      <c r="X678" s="48"/>
      <c r="Y678" s="48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W679" s="48"/>
      <c r="X679" s="48"/>
      <c r="Y679" s="48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W680" s="48"/>
      <c r="X680" s="48"/>
      <c r="Y680" s="48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W681" s="48"/>
      <c r="X681" s="48"/>
      <c r="Y681" s="48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W682" s="48"/>
      <c r="X682" s="48"/>
      <c r="Y682" s="48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W683" s="48"/>
      <c r="X683" s="48"/>
      <c r="Y683" s="48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W684" s="48"/>
      <c r="X684" s="48"/>
      <c r="Y684" s="48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W685" s="48"/>
      <c r="X685" s="48"/>
      <c r="Y685" s="48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W686" s="48"/>
      <c r="X686" s="48"/>
      <c r="Y686" s="48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W687" s="48"/>
      <c r="X687" s="48"/>
      <c r="Y687" s="48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W688" s="48"/>
      <c r="X688" s="48"/>
      <c r="Y688" s="48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W689" s="48"/>
      <c r="X689" s="48"/>
      <c r="Y689" s="48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W690" s="48"/>
      <c r="X690" s="48"/>
      <c r="Y690" s="48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W691" s="48"/>
      <c r="X691" s="48"/>
      <c r="Y691" s="48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W692" s="48"/>
      <c r="X692" s="48"/>
      <c r="Y692" s="48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W693" s="48"/>
      <c r="X693" s="48"/>
      <c r="Y693" s="48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W694" s="48"/>
      <c r="X694" s="48"/>
      <c r="Y694" s="48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W695" s="48"/>
      <c r="X695" s="48"/>
      <c r="Y695" s="48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W696" s="48"/>
      <c r="X696" s="48"/>
      <c r="Y696" s="48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W697" s="48"/>
      <c r="X697" s="48"/>
      <c r="Y697" s="48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W698" s="48"/>
      <c r="X698" s="48"/>
      <c r="Y698" s="48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W699" s="48"/>
      <c r="X699" s="48"/>
      <c r="Y699" s="48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W700" s="48"/>
      <c r="X700" s="48"/>
      <c r="Y700" s="48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W701" s="48"/>
      <c r="X701" s="48"/>
      <c r="Y701" s="48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W702" s="48"/>
      <c r="X702" s="48"/>
      <c r="Y702" s="48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W703" s="48"/>
      <c r="X703" s="48"/>
      <c r="Y703" s="48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W704" s="48"/>
      <c r="X704" s="48"/>
      <c r="Y704" s="48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W705" s="48"/>
      <c r="X705" s="48"/>
      <c r="Y705" s="48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W706" s="48"/>
      <c r="X706" s="48"/>
      <c r="Y706" s="48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W707" s="48"/>
      <c r="X707" s="48"/>
      <c r="Y707" s="48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W708" s="48"/>
      <c r="X708" s="48"/>
      <c r="Y708" s="48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W709" s="48"/>
      <c r="X709" s="48"/>
      <c r="Y709" s="48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W710" s="48"/>
      <c r="X710" s="48"/>
      <c r="Y710" s="48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W711" s="48"/>
      <c r="X711" s="48"/>
      <c r="Y711" s="48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W712" s="48"/>
      <c r="X712" s="48"/>
      <c r="Y712" s="48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W713" s="48"/>
      <c r="X713" s="48"/>
      <c r="Y713" s="48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W714" s="48"/>
      <c r="X714" s="48"/>
      <c r="Y714" s="48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W715" s="48"/>
      <c r="X715" s="48"/>
      <c r="Y715" s="48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W716" s="48"/>
      <c r="X716" s="48"/>
      <c r="Y716" s="48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W717" s="48"/>
      <c r="X717" s="48"/>
      <c r="Y717" s="48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W718" s="48"/>
      <c r="X718" s="48"/>
      <c r="Y718" s="48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W719" s="48"/>
      <c r="X719" s="48"/>
      <c r="Y719" s="48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W720" s="48"/>
      <c r="X720" s="48"/>
      <c r="Y720" s="48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W721" s="48"/>
      <c r="X721" s="48"/>
      <c r="Y721" s="48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W722" s="48"/>
      <c r="X722" s="48"/>
      <c r="Y722" s="48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W723" s="48"/>
      <c r="X723" s="48"/>
      <c r="Y723" s="48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W724" s="48"/>
      <c r="X724" s="48"/>
      <c r="Y724" s="48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W725" s="48"/>
      <c r="X725" s="48"/>
      <c r="Y725" s="48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W726" s="48"/>
      <c r="X726" s="48"/>
      <c r="Y726" s="48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W727" s="48"/>
      <c r="X727" s="48"/>
      <c r="Y727" s="48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W728" s="48"/>
      <c r="X728" s="48"/>
      <c r="Y728" s="48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W729" s="48"/>
      <c r="X729" s="48"/>
      <c r="Y729" s="48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W730" s="48"/>
      <c r="X730" s="48"/>
      <c r="Y730" s="48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W731" s="48"/>
      <c r="X731" s="48"/>
      <c r="Y731" s="48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W732" s="48"/>
      <c r="X732" s="48"/>
      <c r="Y732" s="48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W733" s="48"/>
      <c r="X733" s="48"/>
      <c r="Y733" s="48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W734" s="48"/>
      <c r="X734" s="48"/>
      <c r="Y734" s="48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W735" s="48"/>
      <c r="X735" s="48"/>
      <c r="Y735" s="48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W736" s="48"/>
      <c r="X736" s="48"/>
      <c r="Y736" s="48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W737" s="48"/>
      <c r="X737" s="48"/>
      <c r="Y737" s="48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W738" s="48"/>
      <c r="X738" s="48"/>
      <c r="Y738" s="48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W739" s="48"/>
      <c r="X739" s="48"/>
      <c r="Y739" s="48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W740" s="48"/>
      <c r="X740" s="48"/>
      <c r="Y740" s="48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W741" s="48"/>
      <c r="X741" s="48"/>
      <c r="Y741" s="48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W742" s="48"/>
      <c r="X742" s="48"/>
      <c r="Y742" s="48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W743" s="48"/>
      <c r="X743" s="48"/>
      <c r="Y743" s="48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W744" s="48"/>
      <c r="X744" s="48"/>
      <c r="Y744" s="48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W745" s="48"/>
      <c r="X745" s="48"/>
      <c r="Y745" s="48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W746" s="48"/>
      <c r="X746" s="48"/>
      <c r="Y746" s="48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W747" s="48"/>
      <c r="X747" s="48"/>
      <c r="Y747" s="48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W748" s="48"/>
      <c r="X748" s="48"/>
      <c r="Y748" s="48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W749" s="48"/>
      <c r="X749" s="48"/>
      <c r="Y749" s="48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W750" s="48"/>
      <c r="X750" s="48"/>
      <c r="Y750" s="48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W751" s="48"/>
      <c r="X751" s="48"/>
      <c r="Y751" s="48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W752" s="48"/>
      <c r="X752" s="48"/>
      <c r="Y752" s="48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W753" s="48"/>
      <c r="X753" s="48"/>
      <c r="Y753" s="48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W754" s="48"/>
      <c r="X754" s="48"/>
      <c r="Y754" s="48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W755" s="48"/>
      <c r="X755" s="48"/>
      <c r="Y755" s="48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W756" s="48"/>
      <c r="X756" s="48"/>
      <c r="Y756" s="48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W757" s="48"/>
      <c r="X757" s="48"/>
      <c r="Y757" s="48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W758" s="48"/>
      <c r="X758" s="48"/>
      <c r="Y758" s="48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W759" s="48"/>
      <c r="X759" s="48"/>
      <c r="Y759" s="48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W760" s="48"/>
      <c r="X760" s="48"/>
      <c r="Y760" s="48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W761" s="48"/>
      <c r="X761" s="48"/>
      <c r="Y761" s="48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W762" s="48"/>
      <c r="X762" s="48"/>
      <c r="Y762" s="48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W763" s="48"/>
      <c r="X763" s="48"/>
      <c r="Y763" s="48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W764" s="48"/>
      <c r="X764" s="48"/>
      <c r="Y764" s="48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W765" s="48"/>
      <c r="X765" s="48"/>
      <c r="Y765" s="48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W766" s="48"/>
      <c r="X766" s="48"/>
      <c r="Y766" s="48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W767" s="48"/>
      <c r="X767" s="48"/>
      <c r="Y767" s="48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W768" s="48"/>
      <c r="X768" s="48"/>
      <c r="Y768" s="48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W769" s="48"/>
      <c r="X769" s="48"/>
      <c r="Y769" s="48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W770" s="48"/>
      <c r="X770" s="48"/>
      <c r="Y770" s="48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W771" s="48"/>
      <c r="X771" s="48"/>
      <c r="Y771" s="48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W772" s="48"/>
      <c r="X772" s="48"/>
      <c r="Y772" s="48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W773" s="48"/>
      <c r="X773" s="48"/>
      <c r="Y773" s="48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W774" s="48"/>
      <c r="X774" s="48"/>
      <c r="Y774" s="48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W775" s="48"/>
      <c r="X775" s="48"/>
      <c r="Y775" s="48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W776" s="48"/>
      <c r="X776" s="48"/>
      <c r="Y776" s="48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W777" s="48"/>
      <c r="X777" s="48"/>
      <c r="Y777" s="48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W778" s="48"/>
      <c r="X778" s="48"/>
      <c r="Y778" s="48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W779" s="48"/>
      <c r="X779" s="48"/>
      <c r="Y779" s="48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W780" s="48"/>
      <c r="X780" s="48"/>
      <c r="Y780" s="48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W781" s="48"/>
      <c r="X781" s="48"/>
      <c r="Y781" s="48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W782" s="48"/>
      <c r="X782" s="48"/>
      <c r="Y782" s="48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W783" s="48"/>
      <c r="X783" s="48"/>
      <c r="Y783" s="48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W784" s="48"/>
      <c r="X784" s="48"/>
      <c r="Y784" s="48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W785" s="48"/>
      <c r="X785" s="48"/>
      <c r="Y785" s="48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W786" s="48"/>
      <c r="X786" s="48"/>
      <c r="Y786" s="48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W787" s="48"/>
      <c r="X787" s="48"/>
      <c r="Y787" s="48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W788" s="48"/>
      <c r="X788" s="48"/>
      <c r="Y788" s="48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W789" s="48"/>
      <c r="X789" s="48"/>
      <c r="Y789" s="48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W790" s="48"/>
      <c r="X790" s="48"/>
      <c r="Y790" s="48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W791" s="48"/>
      <c r="X791" s="48"/>
      <c r="Y791" s="48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W792" s="48"/>
      <c r="X792" s="48"/>
      <c r="Y792" s="48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W793" s="48"/>
      <c r="X793" s="48"/>
      <c r="Y793" s="48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W794" s="48"/>
      <c r="X794" s="48"/>
      <c r="Y794" s="48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W795" s="48"/>
      <c r="X795" s="48"/>
      <c r="Y795" s="48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W796" s="48"/>
      <c r="X796" s="48"/>
      <c r="Y796" s="48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W797" s="48"/>
      <c r="X797" s="48"/>
      <c r="Y797" s="48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W798" s="48"/>
      <c r="X798" s="48"/>
      <c r="Y798" s="48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W799" s="48"/>
      <c r="X799" s="48"/>
      <c r="Y799" s="48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W800" s="48"/>
      <c r="X800" s="48"/>
      <c r="Y800" s="48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W801" s="48"/>
      <c r="X801" s="48"/>
      <c r="Y801" s="48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W802" s="48"/>
      <c r="X802" s="48"/>
      <c r="Y802" s="48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W803" s="48"/>
      <c r="X803" s="48"/>
      <c r="Y803" s="48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W804" s="48"/>
      <c r="X804" s="48"/>
      <c r="Y804" s="48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W805" s="48"/>
      <c r="X805" s="48"/>
      <c r="Y805" s="48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W806" s="48"/>
      <c r="X806" s="48"/>
      <c r="Y806" s="48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W807" s="48"/>
      <c r="X807" s="48"/>
      <c r="Y807" s="48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W808" s="48"/>
      <c r="X808" s="48"/>
      <c r="Y808" s="48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W809" s="48"/>
      <c r="X809" s="48"/>
      <c r="Y809" s="48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W810" s="48"/>
      <c r="X810" s="48"/>
      <c r="Y810" s="48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W811" s="48"/>
      <c r="X811" s="48"/>
      <c r="Y811" s="48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W812" s="48"/>
      <c r="X812" s="48"/>
      <c r="Y812" s="48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W813" s="48"/>
      <c r="X813" s="48"/>
      <c r="Y813" s="48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W814" s="48"/>
      <c r="X814" s="48"/>
      <c r="Y814" s="48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W815" s="48"/>
      <c r="X815" s="48"/>
      <c r="Y815" s="48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W816" s="48"/>
      <c r="X816" s="48"/>
      <c r="Y816" s="48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W817" s="48"/>
      <c r="X817" s="48"/>
      <c r="Y817" s="48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W818" s="48"/>
      <c r="X818" s="48"/>
      <c r="Y818" s="48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W819" s="48"/>
      <c r="X819" s="48"/>
      <c r="Y819" s="48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W820" s="48"/>
      <c r="X820" s="48"/>
      <c r="Y820" s="48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W821" s="48"/>
      <c r="X821" s="48"/>
      <c r="Y821" s="48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W822" s="48"/>
      <c r="X822" s="48"/>
      <c r="Y822" s="48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W823" s="48"/>
      <c r="X823" s="48"/>
      <c r="Y823" s="48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W824" s="48"/>
      <c r="X824" s="48"/>
      <c r="Y824" s="48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W825" s="48"/>
      <c r="X825" s="48"/>
      <c r="Y825" s="48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W826" s="48"/>
      <c r="X826" s="48"/>
      <c r="Y826" s="48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W827" s="48"/>
      <c r="X827" s="48"/>
      <c r="Y827" s="48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W828" s="48"/>
      <c r="X828" s="48"/>
      <c r="Y828" s="48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W829" s="48"/>
      <c r="X829" s="48"/>
      <c r="Y829" s="48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W830" s="48"/>
      <c r="X830" s="48"/>
      <c r="Y830" s="48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W831" s="48"/>
      <c r="X831" s="48"/>
      <c r="Y831" s="48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W832" s="48"/>
      <c r="X832" s="48"/>
      <c r="Y832" s="48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W833" s="48"/>
      <c r="X833" s="48"/>
      <c r="Y833" s="48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W834" s="48"/>
      <c r="X834" s="48"/>
      <c r="Y834" s="48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W835" s="48"/>
      <c r="X835" s="48"/>
      <c r="Y835" s="48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W836" s="48"/>
      <c r="X836" s="48"/>
      <c r="Y836" s="48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W837" s="48"/>
      <c r="X837" s="48"/>
      <c r="Y837" s="48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W838" s="48"/>
      <c r="X838" s="48"/>
      <c r="Y838" s="48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W839" s="48"/>
      <c r="X839" s="48"/>
      <c r="Y839" s="48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W840" s="48"/>
      <c r="X840" s="48"/>
      <c r="Y840" s="48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W841" s="48"/>
      <c r="X841" s="48"/>
      <c r="Y841" s="48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W842" s="48"/>
      <c r="X842" s="48"/>
      <c r="Y842" s="48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W843" s="48"/>
      <c r="X843" s="48"/>
      <c r="Y843" s="48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W844" s="48"/>
      <c r="X844" s="48"/>
      <c r="Y844" s="48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W845" s="48"/>
      <c r="X845" s="48"/>
      <c r="Y845" s="48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W846" s="48"/>
      <c r="X846" s="48"/>
      <c r="Y846" s="48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W847" s="48"/>
      <c r="X847" s="48"/>
      <c r="Y847" s="48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W848" s="48"/>
      <c r="X848" s="48"/>
      <c r="Y848" s="48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W849" s="48"/>
      <c r="X849" s="48"/>
      <c r="Y849" s="48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W850" s="48"/>
      <c r="X850" s="48"/>
      <c r="Y850" s="48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W851" s="48"/>
      <c r="X851" s="48"/>
      <c r="Y851" s="48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W852" s="48"/>
      <c r="X852" s="48"/>
      <c r="Y852" s="48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W853" s="48"/>
      <c r="X853" s="48"/>
      <c r="Y853" s="48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W854" s="48"/>
      <c r="X854" s="48"/>
      <c r="Y854" s="48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W855" s="48"/>
      <c r="X855" s="48"/>
      <c r="Y855" s="48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W856" s="48"/>
      <c r="X856" s="48"/>
      <c r="Y856" s="48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W857" s="48"/>
      <c r="X857" s="48"/>
      <c r="Y857" s="48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W858" s="48"/>
      <c r="X858" s="48"/>
      <c r="Y858" s="48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W859" s="48"/>
      <c r="X859" s="48"/>
      <c r="Y859" s="48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W860" s="48"/>
      <c r="X860" s="48"/>
      <c r="Y860" s="48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W861" s="48"/>
      <c r="X861" s="48"/>
      <c r="Y861" s="48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W862" s="48"/>
      <c r="X862" s="48"/>
      <c r="Y862" s="48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W863" s="48"/>
      <c r="X863" s="48"/>
      <c r="Y863" s="48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W864" s="48"/>
      <c r="X864" s="48"/>
      <c r="Y864" s="48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W865" s="48"/>
      <c r="X865" s="48"/>
      <c r="Y865" s="48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W866" s="48"/>
      <c r="X866" s="48"/>
      <c r="Y866" s="48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W867" s="48"/>
      <c r="X867" s="48"/>
      <c r="Y867" s="48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W868" s="48"/>
      <c r="X868" s="48"/>
      <c r="Y868" s="48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W869" s="48"/>
      <c r="X869" s="48"/>
      <c r="Y869" s="48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W870" s="48"/>
      <c r="X870" s="48"/>
      <c r="Y870" s="48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W871" s="48"/>
      <c r="X871" s="48"/>
      <c r="Y871" s="48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W872" s="48"/>
      <c r="X872" s="48"/>
      <c r="Y872" s="48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W873" s="48"/>
      <c r="X873" s="48"/>
      <c r="Y873" s="48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W874" s="48"/>
      <c r="X874" s="48"/>
      <c r="Y874" s="48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W875" s="48"/>
      <c r="X875" s="48"/>
      <c r="Y875" s="48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W876" s="48"/>
      <c r="X876" s="48"/>
      <c r="Y876" s="48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W877" s="48"/>
      <c r="X877" s="48"/>
      <c r="Y877" s="48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W878" s="48"/>
      <c r="X878" s="48"/>
      <c r="Y878" s="48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W879" s="48"/>
      <c r="X879" s="48"/>
      <c r="Y879" s="48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W880" s="48"/>
      <c r="X880" s="48"/>
      <c r="Y880" s="48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W881" s="48"/>
      <c r="X881" s="48"/>
      <c r="Y881" s="48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W882" s="48"/>
      <c r="X882" s="48"/>
      <c r="Y882" s="48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W883" s="48"/>
      <c r="X883" s="48"/>
      <c r="Y883" s="48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W884" s="48"/>
      <c r="X884" s="48"/>
      <c r="Y884" s="48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W885" s="48"/>
      <c r="X885" s="48"/>
      <c r="Y885" s="48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W886" s="48"/>
      <c r="X886" s="48"/>
      <c r="Y886" s="48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W887" s="48"/>
      <c r="X887" s="48"/>
      <c r="Y887" s="48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W888" s="48"/>
      <c r="X888" s="48"/>
      <c r="Y888" s="48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W889" s="48"/>
      <c r="X889" s="48"/>
      <c r="Y889" s="48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W890" s="48"/>
      <c r="X890" s="48"/>
      <c r="Y890" s="48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W891" s="48"/>
      <c r="X891" s="48"/>
      <c r="Y891" s="48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W892" s="48"/>
      <c r="X892" s="48"/>
      <c r="Y892" s="48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W893" s="48"/>
      <c r="X893" s="48"/>
      <c r="Y893" s="48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W894" s="48"/>
      <c r="X894" s="48"/>
      <c r="Y894" s="48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W895" s="48"/>
      <c r="X895" s="48"/>
      <c r="Y895" s="48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W896" s="48"/>
      <c r="X896" s="48"/>
      <c r="Y896" s="48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W897" s="48"/>
      <c r="X897" s="48"/>
      <c r="Y897" s="48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W898" s="48"/>
      <c r="X898" s="48"/>
      <c r="Y898" s="48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W899" s="48"/>
      <c r="X899" s="48"/>
      <c r="Y899" s="48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W900" s="48"/>
      <c r="X900" s="48"/>
      <c r="Y900" s="48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W901" s="48"/>
      <c r="X901" s="48"/>
      <c r="Y901" s="48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W902" s="48"/>
      <c r="X902" s="48"/>
      <c r="Y902" s="48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W903" s="48"/>
      <c r="X903" s="48"/>
      <c r="Y903" s="48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W904" s="48"/>
      <c r="X904" s="48"/>
      <c r="Y904" s="48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W905" s="48"/>
      <c r="X905" s="48"/>
      <c r="Y905" s="48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W906" s="48"/>
      <c r="X906" s="48"/>
      <c r="Y906" s="48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W907" s="48"/>
      <c r="X907" s="48"/>
      <c r="Y907" s="48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W908" s="48"/>
      <c r="X908" s="48"/>
      <c r="Y908" s="48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W909" s="48"/>
      <c r="X909" s="48"/>
      <c r="Y909" s="48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W910" s="48"/>
      <c r="X910" s="48"/>
      <c r="Y910" s="48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W911" s="48"/>
      <c r="X911" s="48"/>
      <c r="Y911" s="48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W912" s="48"/>
      <c r="X912" s="48"/>
      <c r="Y912" s="48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W913" s="48"/>
      <c r="X913" s="48"/>
      <c r="Y913" s="48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W914" s="48"/>
      <c r="X914" s="48"/>
      <c r="Y914" s="48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W915" s="48"/>
      <c r="X915" s="48"/>
      <c r="Y915" s="48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W916" s="48"/>
      <c r="X916" s="48"/>
      <c r="Y916" s="48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W917" s="48"/>
      <c r="X917" s="48"/>
      <c r="Y917" s="48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W918" s="48"/>
      <c r="X918" s="48"/>
      <c r="Y918" s="48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W919" s="48"/>
      <c r="X919" s="48"/>
      <c r="Y919" s="48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W920" s="48"/>
      <c r="X920" s="48"/>
      <c r="Y920" s="48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W921" s="48"/>
      <c r="X921" s="48"/>
      <c r="Y921" s="48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W922" s="48"/>
      <c r="X922" s="48"/>
      <c r="Y922" s="48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W923" s="48"/>
      <c r="X923" s="48"/>
      <c r="Y923" s="48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W924" s="48"/>
      <c r="X924" s="48"/>
      <c r="Y924" s="48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W925" s="48"/>
      <c r="X925" s="48"/>
      <c r="Y925" s="48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W926" s="48"/>
      <c r="X926" s="48"/>
      <c r="Y926" s="48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W927" s="48"/>
      <c r="X927" s="48"/>
      <c r="Y927" s="48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W928" s="48"/>
      <c r="X928" s="48"/>
      <c r="Y928" s="48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W929" s="48"/>
      <c r="X929" s="48"/>
      <c r="Y929" s="48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W930" s="48"/>
      <c r="X930" s="48"/>
      <c r="Y930" s="48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W931" s="48"/>
      <c r="X931" s="48"/>
      <c r="Y931" s="48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W932" s="48"/>
      <c r="X932" s="48"/>
      <c r="Y932" s="48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W933" s="48"/>
      <c r="X933" s="48"/>
      <c r="Y933" s="48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W934" s="48"/>
      <c r="X934" s="48"/>
      <c r="Y934" s="48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W935" s="48"/>
      <c r="X935" s="48"/>
      <c r="Y935" s="48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W936" s="48"/>
      <c r="X936" s="48"/>
      <c r="Y936" s="48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W937" s="48"/>
      <c r="X937" s="48"/>
      <c r="Y937" s="48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W938" s="48"/>
      <c r="X938" s="48"/>
      <c r="Y938" s="48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W939" s="48"/>
      <c r="X939" s="48"/>
      <c r="Y939" s="48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W940" s="48"/>
      <c r="X940" s="48"/>
      <c r="Y940" s="48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W941" s="48"/>
      <c r="X941" s="48"/>
      <c r="Y941" s="48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W942" s="48"/>
      <c r="X942" s="48"/>
      <c r="Y942" s="48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W943" s="48"/>
      <c r="X943" s="48"/>
      <c r="Y943" s="48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W944" s="48"/>
      <c r="X944" s="48"/>
      <c r="Y944" s="48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W945" s="48"/>
      <c r="X945" s="48"/>
      <c r="Y945" s="48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W946" s="48"/>
      <c r="X946" s="48"/>
      <c r="Y946" s="48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W947" s="48"/>
      <c r="X947" s="48"/>
      <c r="Y947" s="48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W948" s="48"/>
      <c r="X948" s="48"/>
      <c r="Y948" s="48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W949" s="48"/>
      <c r="X949" s="48"/>
      <c r="Y949" s="48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W950" s="48"/>
      <c r="X950" s="48"/>
      <c r="Y950" s="48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W951" s="48"/>
      <c r="X951" s="48"/>
      <c r="Y951" s="48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W952" s="48"/>
      <c r="X952" s="48"/>
      <c r="Y952" s="48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W953" s="48"/>
      <c r="X953" s="48"/>
      <c r="Y953" s="48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W954" s="48"/>
      <c r="X954" s="48"/>
      <c r="Y954" s="48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W955" s="48"/>
      <c r="X955" s="48"/>
      <c r="Y955" s="48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W956" s="48"/>
      <c r="X956" s="48"/>
      <c r="Y956" s="48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W957" s="48"/>
      <c r="X957" s="48"/>
      <c r="Y957" s="48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W958" s="48"/>
      <c r="X958" s="48"/>
      <c r="Y958" s="48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W959" s="48"/>
      <c r="X959" s="48"/>
      <c r="Y959" s="48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W960" s="48"/>
      <c r="X960" s="48"/>
      <c r="Y960" s="48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W961" s="48"/>
      <c r="X961" s="48"/>
      <c r="Y961" s="48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W962" s="48"/>
      <c r="X962" s="48"/>
      <c r="Y962" s="48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W963" s="48"/>
      <c r="X963" s="48"/>
      <c r="Y963" s="48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W964" s="48"/>
      <c r="X964" s="48"/>
      <c r="Y964" s="48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W965" s="48"/>
      <c r="X965" s="48"/>
      <c r="Y965" s="48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W966" s="48"/>
      <c r="X966" s="48"/>
      <c r="Y966" s="48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W967" s="48"/>
      <c r="X967" s="48"/>
      <c r="Y967" s="48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W968" s="48"/>
      <c r="X968" s="48"/>
      <c r="Y968" s="48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W969" s="48"/>
      <c r="X969" s="48"/>
      <c r="Y969" s="48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W970" s="48"/>
      <c r="X970" s="48"/>
      <c r="Y970" s="48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W971" s="48"/>
      <c r="X971" s="48"/>
      <c r="Y971" s="48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W972" s="48"/>
      <c r="X972" s="48"/>
      <c r="Y972" s="48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W973" s="48"/>
      <c r="X973" s="48"/>
      <c r="Y973" s="48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W974" s="48"/>
      <c r="X974" s="48"/>
      <c r="Y974" s="48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W975" s="48"/>
      <c r="X975" s="48"/>
      <c r="Y975" s="48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W976" s="48"/>
      <c r="X976" s="48"/>
      <c r="Y976" s="48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W977" s="48"/>
      <c r="X977" s="48"/>
      <c r="Y977" s="48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W978" s="48"/>
      <c r="X978" s="48"/>
      <c r="Y978" s="48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W979" s="48"/>
      <c r="X979" s="48"/>
      <c r="Y979" s="48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W980" s="48"/>
      <c r="X980" s="48"/>
      <c r="Y980" s="48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W981" s="48"/>
      <c r="X981" s="48"/>
      <c r="Y981" s="48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W982" s="48"/>
      <c r="X982" s="48"/>
      <c r="Y982" s="48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W983" s="48"/>
      <c r="X983" s="48"/>
      <c r="Y983" s="48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W984" s="48"/>
      <c r="X984" s="48"/>
      <c r="Y984" s="48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W985" s="48"/>
      <c r="X985" s="48"/>
      <c r="Y985" s="48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W986" s="48"/>
      <c r="X986" s="48"/>
      <c r="Y986" s="48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W987" s="48"/>
      <c r="X987" s="48"/>
      <c r="Y987" s="48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W988" s="48"/>
      <c r="X988" s="48"/>
      <c r="Y988" s="48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W989" s="48"/>
      <c r="X989" s="48"/>
      <c r="Y989" s="48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W990" s="48"/>
      <c r="X990" s="48"/>
      <c r="Y990" s="48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W991" s="48"/>
      <c r="X991" s="48"/>
      <c r="Y991" s="48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W992" s="48"/>
      <c r="X992" s="48"/>
      <c r="Y992" s="48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W993" s="48"/>
      <c r="X993" s="48"/>
      <c r="Y993" s="48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W994" s="48"/>
      <c r="X994" s="48"/>
      <c r="Y994" s="48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W995" s="48"/>
      <c r="X995" s="48"/>
      <c r="Y995" s="48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W996" s="48"/>
      <c r="X996" s="48"/>
      <c r="Y996" s="48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W997" s="48"/>
      <c r="X997" s="48"/>
      <c r="Y997" s="48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W998" s="48"/>
      <c r="X998" s="48"/>
      <c r="Y998" s="48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W999" s="48"/>
      <c r="X999" s="48"/>
      <c r="Y999" s="48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W1000" s="48"/>
      <c r="X1000" s="48"/>
      <c r="Y1000" s="48"/>
    </row>
  </sheetData>
  <dataValidations>
    <dataValidation type="list" allowBlank="1" showErrorMessage="1" sqref="W2:W1000">
      <formula1>"Jala,No jala,Por validar"</formula1>
    </dataValidation>
    <dataValidation type="list" allowBlank="1" sqref="I2:I50">
      <formula1>"Pendiente,En proceso,Listo"</formula1>
    </dataValidation>
    <dataValidation type="list" allowBlank="1" showErrorMessage="1" sqref="Y2:Y1000">
      <formula1>"Activa,Limitada,No disponible,Por validar"</formula1>
    </dataValidation>
    <dataValidation type="list" allowBlank="1" showErrorMessage="1" sqref="X2:X1000">
      <formula1>"A,B,C"</formula1>
    </dataValidation>
  </dataValidations>
  <hyperlinks>
    <hyperlink r:id="rId1" ref="I3"/>
  </hyperlinks>
  <printOptions/>
  <pageMargins bottom="1.0" footer="0.0" header="0.0" left="0.75" right="0.75" top="1.0"/>
  <pageSetup paperSize="9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4.0"/>
    <col customWidth="1" min="2" max="2" width="26.0"/>
    <col customWidth="1" min="3" max="3" width="40.0"/>
    <col customWidth="1" min="4" max="4" width="16.0"/>
    <col customWidth="1" min="5" max="5" width="14.0"/>
    <col customWidth="1" min="6" max="6" width="16.0"/>
    <col customWidth="1" min="7" max="7" width="14.0"/>
    <col customWidth="1" min="8" max="8" width="20.0"/>
    <col customWidth="1" min="9" max="9" width="16.0"/>
    <col customWidth="1" min="10" max="10" width="22.0"/>
    <col customWidth="1" min="11" max="11" width="46.0"/>
    <col customWidth="1" min="12" max="21" width="8.71"/>
    <col customWidth="1" min="22" max="25" width="19.43"/>
    <col customWidth="1" min="26" max="26" width="8.71"/>
  </cols>
  <sheetData>
    <row r="1" ht="27.75" customHeight="1">
      <c r="A1" s="23" t="s">
        <v>4</v>
      </c>
      <c r="B1" s="23" t="s">
        <v>329</v>
      </c>
      <c r="C1" s="23" t="s">
        <v>330</v>
      </c>
      <c r="D1" s="23" t="s">
        <v>331</v>
      </c>
      <c r="E1" s="23" t="s">
        <v>332</v>
      </c>
      <c r="F1" s="23" t="s">
        <v>333</v>
      </c>
      <c r="G1" s="23" t="s">
        <v>334</v>
      </c>
      <c r="H1" s="23" t="s">
        <v>335</v>
      </c>
      <c r="I1" s="23" t="s">
        <v>336</v>
      </c>
      <c r="J1" s="23" t="s">
        <v>337</v>
      </c>
      <c r="K1" s="23" t="s">
        <v>338</v>
      </c>
      <c r="V1" s="47" t="s">
        <v>339</v>
      </c>
      <c r="W1" s="47" t="s">
        <v>340</v>
      </c>
      <c r="X1" s="47" t="s">
        <v>341</v>
      </c>
      <c r="Y1" s="47" t="s">
        <v>342</v>
      </c>
    </row>
    <row r="2" ht="34.5" customHeight="1">
      <c r="A2" s="37" t="s">
        <v>51</v>
      </c>
      <c r="B2" s="37" t="s">
        <v>367</v>
      </c>
      <c r="C2" s="38" t="s">
        <v>481</v>
      </c>
      <c r="D2" s="37" t="s">
        <v>354</v>
      </c>
      <c r="E2" s="37"/>
      <c r="F2" s="37"/>
      <c r="G2" s="37"/>
      <c r="H2" s="37"/>
      <c r="I2" s="37" t="s">
        <v>355</v>
      </c>
      <c r="J2" s="40" t="s">
        <v>482</v>
      </c>
      <c r="K2" s="41" t="s">
        <v>357</v>
      </c>
      <c r="W2" s="48"/>
      <c r="X2" s="48"/>
      <c r="Y2" s="48"/>
    </row>
    <row r="3" ht="23.25" customHeight="1">
      <c r="A3" s="49" t="s">
        <v>60</v>
      </c>
      <c r="B3" s="37" t="s">
        <v>483</v>
      </c>
      <c r="C3" s="38" t="s">
        <v>372</v>
      </c>
      <c r="D3" s="37" t="s">
        <v>373</v>
      </c>
      <c r="E3" s="37"/>
      <c r="F3" s="37"/>
      <c r="G3" s="37"/>
      <c r="H3" s="37"/>
      <c r="I3" s="37" t="s">
        <v>355</v>
      </c>
      <c r="J3" s="40" t="s">
        <v>369</v>
      </c>
      <c r="K3" s="41" t="s">
        <v>484</v>
      </c>
      <c r="W3" s="48"/>
      <c r="X3" s="48"/>
      <c r="Y3" s="48"/>
    </row>
    <row r="4" ht="15.0" customHeight="1">
      <c r="A4" s="37" t="s">
        <v>71</v>
      </c>
      <c r="B4" s="37" t="s">
        <v>352</v>
      </c>
      <c r="C4" s="38" t="s">
        <v>353</v>
      </c>
      <c r="D4" s="37" t="s">
        <v>354</v>
      </c>
      <c r="E4" s="37"/>
      <c r="F4" s="37"/>
      <c r="G4" s="37"/>
      <c r="H4" s="37"/>
      <c r="I4" s="37" t="s">
        <v>355</v>
      </c>
      <c r="J4" s="40" t="s">
        <v>485</v>
      </c>
      <c r="K4" s="41" t="s">
        <v>366</v>
      </c>
      <c r="W4" s="48"/>
      <c r="X4" s="48"/>
      <c r="Y4" s="48"/>
    </row>
    <row r="5" ht="15.0" customHeight="1">
      <c r="A5" s="37" t="s">
        <v>196</v>
      </c>
      <c r="B5" s="37" t="s">
        <v>486</v>
      </c>
      <c r="C5" s="38" t="s">
        <v>353</v>
      </c>
      <c r="D5" s="37" t="s">
        <v>354</v>
      </c>
      <c r="E5" s="37"/>
      <c r="F5" s="37"/>
      <c r="G5" s="37"/>
      <c r="H5" s="37"/>
      <c r="I5" s="40" t="s">
        <v>487</v>
      </c>
      <c r="J5" s="40" t="s">
        <v>488</v>
      </c>
      <c r="K5" s="41" t="s">
        <v>370</v>
      </c>
      <c r="W5" s="48"/>
      <c r="X5" s="48"/>
      <c r="Y5" s="48"/>
    </row>
    <row r="6" ht="23.25" customHeight="1">
      <c r="A6" s="37" t="s">
        <v>78</v>
      </c>
      <c r="B6" s="37" t="s">
        <v>489</v>
      </c>
      <c r="C6" s="38" t="s">
        <v>365</v>
      </c>
      <c r="D6" s="37" t="s">
        <v>354</v>
      </c>
      <c r="E6" s="37"/>
      <c r="F6" s="37"/>
      <c r="G6" s="37"/>
      <c r="H6" s="37"/>
      <c r="I6" s="37" t="s">
        <v>355</v>
      </c>
      <c r="J6" s="40" t="s">
        <v>490</v>
      </c>
      <c r="K6" s="41" t="s">
        <v>374</v>
      </c>
      <c r="W6" s="48"/>
      <c r="X6" s="48"/>
      <c r="Y6" s="48"/>
    </row>
    <row r="7" ht="23.25" customHeight="1">
      <c r="A7" s="37" t="s">
        <v>86</v>
      </c>
      <c r="B7" s="37" t="s">
        <v>375</v>
      </c>
      <c r="C7" s="38" t="s">
        <v>376</v>
      </c>
      <c r="D7" s="37" t="s">
        <v>377</v>
      </c>
      <c r="E7" s="37"/>
      <c r="F7" s="37"/>
      <c r="G7" s="37"/>
      <c r="H7" s="37"/>
      <c r="I7" s="37" t="s">
        <v>355</v>
      </c>
      <c r="J7" s="40" t="s">
        <v>369</v>
      </c>
      <c r="K7" s="41" t="s">
        <v>378</v>
      </c>
      <c r="W7" s="48"/>
      <c r="X7" s="48"/>
      <c r="Y7" s="48"/>
    </row>
    <row r="8" ht="23.25" customHeight="1">
      <c r="A8" s="37" t="s">
        <v>89</v>
      </c>
      <c r="B8" s="37" t="s">
        <v>491</v>
      </c>
      <c r="C8" s="38" t="s">
        <v>492</v>
      </c>
      <c r="D8" s="37" t="s">
        <v>354</v>
      </c>
      <c r="E8" s="37"/>
      <c r="F8" s="37"/>
      <c r="G8" s="37"/>
      <c r="H8" s="37"/>
      <c r="I8" s="37" t="s">
        <v>355</v>
      </c>
      <c r="J8" s="37"/>
      <c r="K8" s="38" t="s">
        <v>493</v>
      </c>
      <c r="W8" s="48"/>
      <c r="X8" s="48"/>
      <c r="Y8" s="48"/>
    </row>
    <row r="9" ht="23.25" customHeight="1">
      <c r="A9" s="37" t="s">
        <v>94</v>
      </c>
      <c r="B9" s="37" t="s">
        <v>494</v>
      </c>
      <c r="C9" s="38" t="s">
        <v>495</v>
      </c>
      <c r="D9" s="37" t="s">
        <v>354</v>
      </c>
      <c r="E9" s="37"/>
      <c r="F9" s="37"/>
      <c r="G9" s="37"/>
      <c r="H9" s="37"/>
      <c r="I9" s="40" t="s">
        <v>496</v>
      </c>
      <c r="J9" s="40" t="s">
        <v>497</v>
      </c>
      <c r="K9" s="41" t="s">
        <v>385</v>
      </c>
      <c r="W9" s="48"/>
      <c r="X9" s="48"/>
      <c r="Y9" s="48"/>
    </row>
    <row r="10" ht="15.0" customHeight="1">
      <c r="A10" s="37" t="s">
        <v>97</v>
      </c>
      <c r="B10" s="37" t="s">
        <v>498</v>
      </c>
      <c r="C10" s="38" t="s">
        <v>391</v>
      </c>
      <c r="D10" s="37" t="s">
        <v>354</v>
      </c>
      <c r="E10" s="37"/>
      <c r="F10" s="37"/>
      <c r="G10" s="37"/>
      <c r="H10" s="37"/>
      <c r="I10" s="40" t="s">
        <v>392</v>
      </c>
      <c r="J10" s="40" t="s">
        <v>499</v>
      </c>
      <c r="K10" s="41" t="s">
        <v>389</v>
      </c>
      <c r="W10" s="48"/>
      <c r="X10" s="48"/>
      <c r="Y10" s="48"/>
    </row>
    <row r="11" ht="23.25" customHeight="1">
      <c r="A11" s="37" t="s">
        <v>100</v>
      </c>
      <c r="B11" s="37" t="s">
        <v>500</v>
      </c>
      <c r="C11" s="38" t="s">
        <v>501</v>
      </c>
      <c r="D11" s="37" t="s">
        <v>354</v>
      </c>
      <c r="E11" s="37"/>
      <c r="F11" s="37"/>
      <c r="G11" s="37"/>
      <c r="H11" s="37"/>
      <c r="I11" s="37" t="s">
        <v>355</v>
      </c>
      <c r="J11" s="37"/>
      <c r="K11" s="38" t="s">
        <v>393</v>
      </c>
      <c r="W11" s="48"/>
      <c r="X11" s="48"/>
      <c r="Y11" s="48"/>
    </row>
    <row r="12" ht="15.0" customHeight="1">
      <c r="A12" s="37" t="s">
        <v>212</v>
      </c>
      <c r="B12" s="37" t="s">
        <v>383</v>
      </c>
      <c r="C12" s="38" t="s">
        <v>384</v>
      </c>
      <c r="D12" s="37" t="s">
        <v>354</v>
      </c>
      <c r="E12" s="37"/>
      <c r="F12" s="37"/>
      <c r="G12" s="37"/>
      <c r="H12" s="37"/>
      <c r="I12" s="37" t="s">
        <v>355</v>
      </c>
      <c r="J12" s="37"/>
      <c r="K12" s="38" t="s">
        <v>399</v>
      </c>
      <c r="W12" s="48"/>
      <c r="X12" s="48"/>
      <c r="Y12" s="48"/>
    </row>
    <row r="13" ht="23.25" customHeight="1">
      <c r="A13" s="37" t="s">
        <v>502</v>
      </c>
      <c r="B13" s="37" t="s">
        <v>503</v>
      </c>
      <c r="C13" s="38" t="s">
        <v>396</v>
      </c>
      <c r="D13" s="37" t="s">
        <v>504</v>
      </c>
      <c r="E13" s="37"/>
      <c r="F13" s="37"/>
      <c r="G13" s="37"/>
      <c r="H13" s="37" t="s">
        <v>398</v>
      </c>
      <c r="I13" s="37" t="s">
        <v>355</v>
      </c>
      <c r="J13" s="40" t="s">
        <v>505</v>
      </c>
      <c r="K13" s="41" t="s">
        <v>403</v>
      </c>
      <c r="W13" s="48"/>
      <c r="X13" s="48"/>
      <c r="Y13" s="48"/>
    </row>
    <row r="14" ht="15.0" customHeight="1">
      <c r="A14" s="37" t="s">
        <v>506</v>
      </c>
      <c r="B14" s="37" t="s">
        <v>507</v>
      </c>
      <c r="C14" s="38" t="s">
        <v>412</v>
      </c>
      <c r="D14" s="37" t="s">
        <v>504</v>
      </c>
      <c r="E14" s="37"/>
      <c r="F14" s="37"/>
      <c r="G14" s="37"/>
      <c r="H14" s="37" t="s">
        <v>508</v>
      </c>
      <c r="I14" s="37" t="s">
        <v>355</v>
      </c>
      <c r="J14" s="37"/>
      <c r="K14" s="38" t="s">
        <v>406</v>
      </c>
      <c r="W14" s="48"/>
      <c r="X14" s="48"/>
      <c r="Y14" s="48"/>
    </row>
    <row r="15" ht="23.25" customHeight="1">
      <c r="A15" s="37" t="s">
        <v>285</v>
      </c>
      <c r="B15" s="37" t="s">
        <v>509</v>
      </c>
      <c r="C15" s="38" t="s">
        <v>510</v>
      </c>
      <c r="D15" s="37" t="s">
        <v>504</v>
      </c>
      <c r="E15" s="37"/>
      <c r="F15" s="37"/>
      <c r="G15" s="37"/>
      <c r="H15" s="37" t="s">
        <v>511</v>
      </c>
      <c r="I15" s="37" t="s">
        <v>355</v>
      </c>
      <c r="J15" s="37"/>
      <c r="K15" s="38" t="s">
        <v>410</v>
      </c>
      <c r="W15" s="48"/>
      <c r="X15" s="48"/>
      <c r="Y15" s="48"/>
    </row>
    <row r="16" ht="15.0" customHeight="1">
      <c r="A16" s="37" t="s">
        <v>512</v>
      </c>
      <c r="B16" s="37" t="s">
        <v>513</v>
      </c>
      <c r="C16" s="38" t="s">
        <v>514</v>
      </c>
      <c r="D16" s="37" t="s">
        <v>504</v>
      </c>
      <c r="E16" s="37"/>
      <c r="F16" s="37"/>
      <c r="G16" s="37"/>
      <c r="H16" s="37" t="s">
        <v>515</v>
      </c>
      <c r="I16" s="37" t="s">
        <v>355</v>
      </c>
      <c r="J16" s="37"/>
      <c r="K16" s="38" t="s">
        <v>414</v>
      </c>
      <c r="W16" s="48"/>
      <c r="X16" s="48"/>
      <c r="Y16" s="48"/>
    </row>
    <row r="17" ht="15.0" customHeight="1">
      <c r="A17" s="37" t="s">
        <v>516</v>
      </c>
      <c r="B17" s="37" t="s">
        <v>513</v>
      </c>
      <c r="C17" s="38" t="s">
        <v>412</v>
      </c>
      <c r="D17" s="37" t="s">
        <v>504</v>
      </c>
      <c r="E17" s="37"/>
      <c r="F17" s="37"/>
      <c r="G17" s="37"/>
      <c r="H17" s="37" t="s">
        <v>517</v>
      </c>
      <c r="I17" s="37" t="s">
        <v>355</v>
      </c>
      <c r="J17" s="37"/>
      <c r="K17" s="38" t="s">
        <v>418</v>
      </c>
      <c r="W17" s="48"/>
      <c r="X17" s="48"/>
      <c r="Y17" s="48"/>
    </row>
    <row r="18" ht="15.0" customHeight="1">
      <c r="A18" s="37" t="s">
        <v>518</v>
      </c>
      <c r="B18" s="37" t="s">
        <v>519</v>
      </c>
      <c r="C18" s="38" t="s">
        <v>520</v>
      </c>
      <c r="D18" s="37" t="s">
        <v>504</v>
      </c>
      <c r="E18" s="37"/>
      <c r="F18" s="37"/>
      <c r="G18" s="37"/>
      <c r="H18" s="37" t="s">
        <v>521</v>
      </c>
      <c r="I18" s="37" t="s">
        <v>355</v>
      </c>
      <c r="J18" s="37"/>
      <c r="K18" s="38" t="s">
        <v>522</v>
      </c>
      <c r="W18" s="48"/>
      <c r="X18" s="48"/>
      <c r="Y18" s="48"/>
    </row>
    <row r="19" ht="15.0" customHeight="1">
      <c r="A19" s="37" t="s">
        <v>123</v>
      </c>
      <c r="B19" s="37" t="s">
        <v>523</v>
      </c>
      <c r="C19" s="38" t="s">
        <v>412</v>
      </c>
      <c r="D19" s="37" t="s">
        <v>504</v>
      </c>
      <c r="E19" s="37"/>
      <c r="F19" s="37"/>
      <c r="G19" s="37"/>
      <c r="H19" s="37" t="s">
        <v>413</v>
      </c>
      <c r="I19" s="37" t="s">
        <v>355</v>
      </c>
      <c r="J19" s="40" t="s">
        <v>524</v>
      </c>
      <c r="K19" s="41" t="s">
        <v>427</v>
      </c>
      <c r="W19" s="48"/>
      <c r="X19" s="48"/>
      <c r="Y19" s="48"/>
    </row>
    <row r="20" ht="15.0" customHeight="1">
      <c r="A20" s="37" t="s">
        <v>525</v>
      </c>
      <c r="B20" s="37" t="s">
        <v>523</v>
      </c>
      <c r="C20" s="38" t="s">
        <v>526</v>
      </c>
      <c r="D20" s="37" t="s">
        <v>504</v>
      </c>
      <c r="E20" s="37"/>
      <c r="F20" s="37"/>
      <c r="G20" s="37"/>
      <c r="H20" s="37" t="s">
        <v>527</v>
      </c>
      <c r="I20" s="37" t="s">
        <v>355</v>
      </c>
      <c r="J20" s="37"/>
      <c r="K20" s="38" t="s">
        <v>432</v>
      </c>
      <c r="W20" s="48"/>
      <c r="X20" s="48"/>
      <c r="Y20" s="48"/>
    </row>
    <row r="21" ht="15.0" customHeight="1">
      <c r="A21" s="37" t="s">
        <v>528</v>
      </c>
      <c r="B21" s="37" t="s">
        <v>529</v>
      </c>
      <c r="C21" s="38" t="s">
        <v>530</v>
      </c>
      <c r="D21" s="37" t="s">
        <v>504</v>
      </c>
      <c r="E21" s="37"/>
      <c r="F21" s="37"/>
      <c r="G21" s="37"/>
      <c r="H21" s="37" t="s">
        <v>531</v>
      </c>
      <c r="I21" s="37" t="s">
        <v>355</v>
      </c>
      <c r="J21" s="37"/>
      <c r="K21" s="38"/>
      <c r="W21" s="48"/>
      <c r="X21" s="48"/>
      <c r="Y21" s="48"/>
    </row>
    <row r="22" ht="15.0" customHeight="1">
      <c r="A22" s="37" t="s">
        <v>532</v>
      </c>
      <c r="B22" s="37" t="s">
        <v>533</v>
      </c>
      <c r="C22" s="38" t="s">
        <v>534</v>
      </c>
      <c r="D22" s="37" t="s">
        <v>504</v>
      </c>
      <c r="E22" s="37"/>
      <c r="F22" s="37"/>
      <c r="G22" s="37"/>
      <c r="H22" s="37" t="s">
        <v>535</v>
      </c>
      <c r="I22" s="37" t="s">
        <v>355</v>
      </c>
      <c r="J22" s="37"/>
      <c r="K22" s="38"/>
      <c r="W22" s="48"/>
      <c r="X22" s="48"/>
      <c r="Y22" s="48"/>
    </row>
    <row r="23" ht="15.0" customHeight="1">
      <c r="A23" s="37" t="s">
        <v>536</v>
      </c>
      <c r="B23" s="37" t="s">
        <v>537</v>
      </c>
      <c r="C23" s="38" t="s">
        <v>538</v>
      </c>
      <c r="D23" s="37" t="s">
        <v>504</v>
      </c>
      <c r="E23" s="37"/>
      <c r="F23" s="37"/>
      <c r="G23" s="37"/>
      <c r="H23" s="37" t="s">
        <v>539</v>
      </c>
      <c r="I23" s="37" t="s">
        <v>355</v>
      </c>
      <c r="J23" s="37"/>
      <c r="K23" s="38"/>
      <c r="W23" s="48"/>
      <c r="X23" s="48"/>
      <c r="Y23" s="48"/>
    </row>
    <row r="24" ht="15.0" customHeight="1">
      <c r="A24" s="37" t="s">
        <v>540</v>
      </c>
      <c r="B24" s="37" t="s">
        <v>541</v>
      </c>
      <c r="C24" s="38" t="s">
        <v>542</v>
      </c>
      <c r="D24" s="37" t="s">
        <v>504</v>
      </c>
      <c r="E24" s="37"/>
      <c r="F24" s="37"/>
      <c r="G24" s="37"/>
      <c r="H24" s="37" t="s">
        <v>543</v>
      </c>
      <c r="I24" s="37" t="s">
        <v>355</v>
      </c>
      <c r="J24" s="37"/>
      <c r="K24" s="38" t="s">
        <v>446</v>
      </c>
      <c r="W24" s="48"/>
      <c r="X24" s="48"/>
      <c r="Y24" s="48"/>
    </row>
    <row r="25" ht="15.0" customHeight="1">
      <c r="A25" s="37" t="s">
        <v>544</v>
      </c>
      <c r="B25" s="37" t="s">
        <v>545</v>
      </c>
      <c r="C25" s="38" t="s">
        <v>546</v>
      </c>
      <c r="D25" s="37" t="s">
        <v>504</v>
      </c>
      <c r="E25" s="37"/>
      <c r="F25" s="37"/>
      <c r="G25" s="37"/>
      <c r="H25" s="37" t="s">
        <v>547</v>
      </c>
      <c r="I25" s="37" t="s">
        <v>355</v>
      </c>
      <c r="J25" s="37"/>
      <c r="K25" s="38"/>
      <c r="W25" s="48"/>
      <c r="X25" s="48"/>
      <c r="Y25" s="48"/>
    </row>
    <row r="26" ht="15.0" customHeight="1">
      <c r="A26" s="37" t="s">
        <v>548</v>
      </c>
      <c r="B26" s="37" t="s">
        <v>549</v>
      </c>
      <c r="C26" s="38" t="s">
        <v>550</v>
      </c>
      <c r="D26" s="37" t="s">
        <v>504</v>
      </c>
      <c r="E26" s="37"/>
      <c r="F26" s="37"/>
      <c r="G26" s="37"/>
      <c r="H26" s="37" t="s">
        <v>551</v>
      </c>
      <c r="I26" s="37" t="s">
        <v>355</v>
      </c>
      <c r="J26" s="37"/>
      <c r="K26" s="38"/>
      <c r="W26" s="48"/>
      <c r="X26" s="48"/>
      <c r="Y26" s="48"/>
    </row>
    <row r="27" ht="15.0" customHeight="1">
      <c r="A27" s="37" t="s">
        <v>552</v>
      </c>
      <c r="B27" s="37" t="s">
        <v>553</v>
      </c>
      <c r="C27" s="38" t="s">
        <v>554</v>
      </c>
      <c r="D27" s="37" t="s">
        <v>504</v>
      </c>
      <c r="E27" s="37"/>
      <c r="F27" s="37"/>
      <c r="G27" s="37"/>
      <c r="H27" s="37" t="s">
        <v>555</v>
      </c>
      <c r="I27" s="37" t="s">
        <v>355</v>
      </c>
      <c r="J27" s="37"/>
      <c r="K27" s="38"/>
      <c r="W27" s="48"/>
      <c r="X27" s="48"/>
      <c r="Y27" s="48"/>
    </row>
    <row r="28" ht="15.0" customHeight="1">
      <c r="A28" s="37" t="s">
        <v>556</v>
      </c>
      <c r="B28" s="37" t="s">
        <v>557</v>
      </c>
      <c r="C28" s="38" t="s">
        <v>534</v>
      </c>
      <c r="D28" s="37" t="s">
        <v>504</v>
      </c>
      <c r="E28" s="37"/>
      <c r="F28" s="37"/>
      <c r="G28" s="37"/>
      <c r="H28" s="37" t="s">
        <v>558</v>
      </c>
      <c r="I28" s="37" t="s">
        <v>355</v>
      </c>
      <c r="J28" s="37"/>
      <c r="K28" s="38" t="s">
        <v>447</v>
      </c>
      <c r="W28" s="48"/>
      <c r="X28" s="48"/>
      <c r="Y28" s="48"/>
    </row>
    <row r="29" ht="15.0" customHeight="1">
      <c r="A29" s="37" t="s">
        <v>559</v>
      </c>
      <c r="B29" s="37" t="s">
        <v>557</v>
      </c>
      <c r="C29" s="38" t="s">
        <v>560</v>
      </c>
      <c r="D29" s="37" t="s">
        <v>504</v>
      </c>
      <c r="E29" s="37"/>
      <c r="F29" s="37"/>
      <c r="G29" s="37"/>
      <c r="H29" s="37" t="s">
        <v>561</v>
      </c>
      <c r="I29" s="37" t="s">
        <v>355</v>
      </c>
      <c r="J29" s="37"/>
      <c r="K29" s="38" t="s">
        <v>448</v>
      </c>
      <c r="W29" s="48"/>
      <c r="X29" s="48"/>
      <c r="Y29" s="48"/>
    </row>
    <row r="30" ht="15.0" customHeight="1">
      <c r="A30" s="37" t="s">
        <v>562</v>
      </c>
      <c r="B30" s="37" t="s">
        <v>563</v>
      </c>
      <c r="C30" s="38" t="s">
        <v>564</v>
      </c>
      <c r="D30" s="37" t="s">
        <v>504</v>
      </c>
      <c r="E30" s="37"/>
      <c r="F30" s="37"/>
      <c r="G30" s="37"/>
      <c r="H30" s="37" t="s">
        <v>565</v>
      </c>
      <c r="I30" s="37" t="s">
        <v>355</v>
      </c>
      <c r="J30" s="37"/>
      <c r="K30" s="38"/>
      <c r="W30" s="48"/>
      <c r="X30" s="48"/>
      <c r="Y30" s="48"/>
    </row>
    <row r="31" ht="15.0" customHeight="1">
      <c r="A31" s="40" t="s">
        <v>82</v>
      </c>
      <c r="B31" s="40" t="s">
        <v>400</v>
      </c>
      <c r="C31" s="41" t="s">
        <v>401</v>
      </c>
      <c r="D31" s="40" t="s">
        <v>402</v>
      </c>
      <c r="E31" s="40">
        <v>350000.0</v>
      </c>
      <c r="F31" s="40" t="s">
        <v>256</v>
      </c>
      <c r="G31" s="40" t="s">
        <v>256</v>
      </c>
      <c r="H31" s="40" t="s">
        <v>256</v>
      </c>
      <c r="I31" s="40" t="s">
        <v>355</v>
      </c>
      <c r="J31" s="40" t="s">
        <v>566</v>
      </c>
      <c r="K31" s="41" t="s">
        <v>449</v>
      </c>
      <c r="W31" s="48"/>
      <c r="X31" s="48"/>
      <c r="Y31" s="48"/>
    </row>
    <row r="32" ht="15.0" customHeight="1">
      <c r="A32" s="40" t="s">
        <v>105</v>
      </c>
      <c r="B32" s="40" t="s">
        <v>567</v>
      </c>
      <c r="C32" s="41" t="s">
        <v>405</v>
      </c>
      <c r="D32" s="40" t="s">
        <v>354</v>
      </c>
      <c r="E32" s="40" t="s">
        <v>256</v>
      </c>
      <c r="F32" s="40" t="s">
        <v>256</v>
      </c>
      <c r="G32" s="40" t="s">
        <v>256</v>
      </c>
      <c r="H32" s="40" t="s">
        <v>256</v>
      </c>
      <c r="I32" s="40" t="s">
        <v>355</v>
      </c>
      <c r="J32" s="40" t="s">
        <v>568</v>
      </c>
      <c r="K32" s="41" t="s">
        <v>450</v>
      </c>
      <c r="V32" s="51" t="s">
        <v>451</v>
      </c>
      <c r="W32" s="51" t="s">
        <v>452</v>
      </c>
      <c r="X32" s="48"/>
      <c r="Y32" s="48"/>
    </row>
    <row r="33" ht="15.0" customHeight="1">
      <c r="A33" s="37" t="s">
        <v>569</v>
      </c>
      <c r="B33" s="37" t="s">
        <v>549</v>
      </c>
      <c r="C33" s="38" t="s">
        <v>550</v>
      </c>
      <c r="D33" s="37" t="s">
        <v>504</v>
      </c>
      <c r="E33" s="37"/>
      <c r="F33" s="37"/>
      <c r="G33" s="37"/>
      <c r="H33" s="37" t="s">
        <v>570</v>
      </c>
      <c r="I33" s="37" t="s">
        <v>355</v>
      </c>
      <c r="J33" s="37"/>
      <c r="K33" s="38"/>
      <c r="W33" s="48"/>
      <c r="X33" s="48"/>
      <c r="Y33" s="48"/>
    </row>
    <row r="34" ht="23.25" customHeight="1">
      <c r="A34" s="37" t="s">
        <v>120</v>
      </c>
      <c r="B34" s="37" t="s">
        <v>571</v>
      </c>
      <c r="C34" s="38" t="s">
        <v>572</v>
      </c>
      <c r="D34" s="37" t="s">
        <v>504</v>
      </c>
      <c r="E34" s="37"/>
      <c r="F34" s="37"/>
      <c r="G34" s="37"/>
      <c r="H34" s="37" t="s">
        <v>573</v>
      </c>
      <c r="I34" s="40" t="s">
        <v>574</v>
      </c>
      <c r="J34" s="40" t="s">
        <v>575</v>
      </c>
      <c r="K34" s="41" t="s">
        <v>453</v>
      </c>
      <c r="W34" s="48"/>
      <c r="X34" s="48"/>
      <c r="Y34" s="48"/>
    </row>
    <row r="35" ht="15.0" customHeight="1">
      <c r="A35" s="37" t="s">
        <v>576</v>
      </c>
      <c r="B35" s="37" t="s">
        <v>577</v>
      </c>
      <c r="C35" s="38" t="s">
        <v>383</v>
      </c>
      <c r="D35" s="37" t="s">
        <v>504</v>
      </c>
      <c r="E35" s="37"/>
      <c r="F35" s="37"/>
      <c r="G35" s="37"/>
      <c r="H35" s="37" t="s">
        <v>578</v>
      </c>
      <c r="I35" s="37" t="s">
        <v>355</v>
      </c>
      <c r="J35" s="37"/>
      <c r="K35" s="38"/>
      <c r="W35" s="48"/>
      <c r="X35" s="48"/>
      <c r="Y35" s="48"/>
    </row>
    <row r="36" ht="15.0" customHeight="1">
      <c r="A36" s="37" t="s">
        <v>579</v>
      </c>
      <c r="B36" s="37" t="s">
        <v>577</v>
      </c>
      <c r="C36" s="38" t="s">
        <v>580</v>
      </c>
      <c r="D36" s="37" t="s">
        <v>504</v>
      </c>
      <c r="E36" s="37"/>
      <c r="F36" s="37"/>
      <c r="G36" s="37"/>
      <c r="H36" s="37" t="s">
        <v>581</v>
      </c>
      <c r="I36" s="37" t="s">
        <v>355</v>
      </c>
      <c r="J36" s="37"/>
      <c r="K36" s="38" t="s">
        <v>454</v>
      </c>
      <c r="W36" s="48"/>
      <c r="X36" s="48"/>
      <c r="Y36" s="48"/>
    </row>
    <row r="37" ht="15.0" customHeight="1">
      <c r="A37" s="37" t="s">
        <v>582</v>
      </c>
      <c r="B37" s="37" t="s">
        <v>583</v>
      </c>
      <c r="C37" s="38" t="s">
        <v>584</v>
      </c>
      <c r="D37" s="37" t="s">
        <v>504</v>
      </c>
      <c r="E37" s="37"/>
      <c r="F37" s="37"/>
      <c r="G37" s="37"/>
      <c r="H37" s="37" t="s">
        <v>585</v>
      </c>
      <c r="I37" s="37" t="s">
        <v>355</v>
      </c>
      <c r="J37" s="37"/>
      <c r="K37" s="38"/>
      <c r="W37" s="48"/>
      <c r="X37" s="48"/>
      <c r="Y37" s="48"/>
    </row>
    <row r="38" ht="23.25" customHeight="1">
      <c r="A38" s="37" t="s">
        <v>137</v>
      </c>
      <c r="B38" s="37" t="s">
        <v>586</v>
      </c>
      <c r="C38" s="38" t="s">
        <v>587</v>
      </c>
      <c r="D38" s="37" t="s">
        <v>504</v>
      </c>
      <c r="E38" s="37"/>
      <c r="F38" s="37"/>
      <c r="G38" s="37"/>
      <c r="H38" s="37"/>
      <c r="I38" s="37" t="s">
        <v>355</v>
      </c>
      <c r="J38" s="37"/>
      <c r="K38" s="38" t="s">
        <v>455</v>
      </c>
      <c r="W38" s="48"/>
      <c r="X38" s="48"/>
      <c r="Y38" s="48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W39" s="48"/>
      <c r="X39" s="48"/>
      <c r="Y39" s="48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W40" s="48"/>
      <c r="X40" s="48"/>
      <c r="Y40" s="48"/>
    </row>
    <row r="41" ht="15.75" customHeight="1">
      <c r="A41" s="52" t="s">
        <v>116</v>
      </c>
      <c r="B41" s="52" t="s">
        <v>588</v>
      </c>
      <c r="C41" s="52" t="s">
        <v>416</v>
      </c>
      <c r="D41" s="52" t="s">
        <v>397</v>
      </c>
      <c r="E41" s="52" t="s">
        <v>256</v>
      </c>
      <c r="F41" s="52" t="s">
        <v>256</v>
      </c>
      <c r="G41" s="52" t="s">
        <v>256</v>
      </c>
      <c r="H41" s="52" t="s">
        <v>417</v>
      </c>
      <c r="I41" s="52" t="s">
        <v>355</v>
      </c>
      <c r="J41" s="52" t="s">
        <v>256</v>
      </c>
      <c r="K41" s="52" t="s">
        <v>456</v>
      </c>
      <c r="L41" s="53" t="s">
        <v>355</v>
      </c>
      <c r="M41" s="53" t="s">
        <v>355</v>
      </c>
      <c r="N41" s="53" t="s">
        <v>355</v>
      </c>
      <c r="O41" s="53" t="s">
        <v>355</v>
      </c>
      <c r="P41" s="53" t="s">
        <v>355</v>
      </c>
      <c r="Q41" s="53" t="s">
        <v>355</v>
      </c>
      <c r="R41" s="53" t="s">
        <v>457</v>
      </c>
      <c r="S41" s="53" t="s">
        <v>458</v>
      </c>
      <c r="T41" s="53" t="s">
        <v>256</v>
      </c>
      <c r="U41" s="53" t="s">
        <v>459</v>
      </c>
      <c r="W41" s="48"/>
      <c r="X41" s="48"/>
      <c r="Y41" s="48"/>
    </row>
    <row r="42" ht="15.75" customHeight="1">
      <c r="A42" s="52" t="s">
        <v>130</v>
      </c>
      <c r="B42" s="52" t="s">
        <v>589</v>
      </c>
      <c r="C42" s="52" t="s">
        <v>590</v>
      </c>
      <c r="D42" s="52" t="s">
        <v>421</v>
      </c>
      <c r="E42" s="52" t="s">
        <v>256</v>
      </c>
      <c r="F42" s="52" t="s">
        <v>256</v>
      </c>
      <c r="G42" s="52" t="s">
        <v>256</v>
      </c>
      <c r="H42" s="52" t="s">
        <v>256</v>
      </c>
      <c r="I42" s="52" t="s">
        <v>355</v>
      </c>
      <c r="J42" s="52" t="s">
        <v>591</v>
      </c>
      <c r="K42" s="52" t="s">
        <v>460</v>
      </c>
      <c r="L42" s="53" t="s">
        <v>355</v>
      </c>
      <c r="M42" s="53" t="s">
        <v>355</v>
      </c>
      <c r="N42" s="53" t="s">
        <v>355</v>
      </c>
      <c r="O42" s="53" t="s">
        <v>355</v>
      </c>
      <c r="P42" s="53" t="s">
        <v>355</v>
      </c>
      <c r="Q42" s="53" t="s">
        <v>355</v>
      </c>
      <c r="R42" s="53" t="s">
        <v>457</v>
      </c>
      <c r="S42" s="53" t="s">
        <v>458</v>
      </c>
      <c r="T42" s="53" t="s">
        <v>256</v>
      </c>
      <c r="U42" s="53" t="s">
        <v>461</v>
      </c>
      <c r="W42" s="48"/>
      <c r="X42" s="48"/>
      <c r="Y42" s="48"/>
    </row>
    <row r="43" ht="15.75" customHeight="1">
      <c r="A43" s="52" t="s">
        <v>108</v>
      </c>
      <c r="B43" s="52" t="s">
        <v>424</v>
      </c>
      <c r="C43" s="52" t="s">
        <v>425</v>
      </c>
      <c r="D43" s="52" t="s">
        <v>421</v>
      </c>
      <c r="E43" s="52" t="s">
        <v>256</v>
      </c>
      <c r="F43" s="52" t="s">
        <v>256</v>
      </c>
      <c r="G43" s="52" t="s">
        <v>256</v>
      </c>
      <c r="H43" s="52" t="s">
        <v>256</v>
      </c>
      <c r="I43" s="52" t="s">
        <v>426</v>
      </c>
      <c r="J43" s="52" t="s">
        <v>592</v>
      </c>
      <c r="K43" s="52" t="s">
        <v>462</v>
      </c>
      <c r="L43" s="53" t="s">
        <v>355</v>
      </c>
      <c r="M43" s="53" t="s">
        <v>355</v>
      </c>
      <c r="N43" s="53" t="s">
        <v>355</v>
      </c>
      <c r="O43" s="53" t="s">
        <v>355</v>
      </c>
      <c r="P43" s="53" t="s">
        <v>355</v>
      </c>
      <c r="Q43" s="53" t="s">
        <v>355</v>
      </c>
      <c r="R43" s="53" t="s">
        <v>457</v>
      </c>
      <c r="S43" s="53" t="s">
        <v>458</v>
      </c>
      <c r="T43" s="53" t="s">
        <v>256</v>
      </c>
      <c r="U43" s="53" t="s">
        <v>461</v>
      </c>
      <c r="W43" s="48"/>
      <c r="X43" s="48"/>
      <c r="Y43" s="48"/>
    </row>
    <row r="44" ht="15.75" customHeight="1">
      <c r="A44" s="52" t="s">
        <v>433</v>
      </c>
      <c r="B44" s="52" t="s">
        <v>424</v>
      </c>
      <c r="C44" s="52" t="s">
        <v>434</v>
      </c>
      <c r="D44" s="52" t="s">
        <v>421</v>
      </c>
      <c r="E44" s="52" t="s">
        <v>256</v>
      </c>
      <c r="F44" s="52" t="s">
        <v>256</v>
      </c>
      <c r="G44" s="52" t="s">
        <v>256</v>
      </c>
      <c r="H44" s="52" t="s">
        <v>256</v>
      </c>
      <c r="I44" s="52" t="s">
        <v>593</v>
      </c>
      <c r="J44" s="52" t="s">
        <v>436</v>
      </c>
      <c r="K44" s="52" t="s">
        <v>463</v>
      </c>
      <c r="L44" s="53" t="s">
        <v>355</v>
      </c>
      <c r="M44" s="53" t="s">
        <v>355</v>
      </c>
      <c r="N44" s="53" t="s">
        <v>355</v>
      </c>
      <c r="O44" s="53" t="s">
        <v>355</v>
      </c>
      <c r="P44" s="53" t="s">
        <v>355</v>
      </c>
      <c r="Q44" s="53" t="s">
        <v>355</v>
      </c>
      <c r="R44" s="53" t="s">
        <v>457</v>
      </c>
      <c r="S44" s="53" t="s">
        <v>458</v>
      </c>
      <c r="T44" s="53" t="s">
        <v>256</v>
      </c>
      <c r="U44" s="53" t="s">
        <v>464</v>
      </c>
      <c r="V44" s="51" t="s">
        <v>451</v>
      </c>
      <c r="W44" s="51" t="s">
        <v>452</v>
      </c>
      <c r="X44" s="48"/>
      <c r="Y44" s="48"/>
    </row>
    <row r="45" ht="15.75" customHeight="1">
      <c r="A45" s="52" t="s">
        <v>594</v>
      </c>
      <c r="B45" s="52" t="s">
        <v>595</v>
      </c>
      <c r="C45" s="52" t="s">
        <v>596</v>
      </c>
      <c r="D45" s="52" t="s">
        <v>597</v>
      </c>
      <c r="E45" s="52" t="s">
        <v>256</v>
      </c>
      <c r="F45" s="52" t="s">
        <v>256</v>
      </c>
      <c r="G45" s="52" t="s">
        <v>256</v>
      </c>
      <c r="H45" s="52" t="s">
        <v>466</v>
      </c>
      <c r="I45" s="52" t="s">
        <v>355</v>
      </c>
      <c r="J45" s="52" t="s">
        <v>256</v>
      </c>
      <c r="K45" s="52" t="s">
        <v>465</v>
      </c>
      <c r="L45" s="53" t="s">
        <v>355</v>
      </c>
      <c r="M45" s="53" t="s">
        <v>355</v>
      </c>
      <c r="N45" s="53" t="s">
        <v>355</v>
      </c>
      <c r="O45" s="53" t="s">
        <v>355</v>
      </c>
      <c r="P45" s="53" t="s">
        <v>355</v>
      </c>
      <c r="Q45" s="53" t="s">
        <v>355</v>
      </c>
      <c r="R45" s="53" t="s">
        <v>457</v>
      </c>
      <c r="S45" s="53" t="s">
        <v>458</v>
      </c>
      <c r="T45" s="53" t="s">
        <v>256</v>
      </c>
      <c r="U45" s="53" t="s">
        <v>464</v>
      </c>
      <c r="V45" s="51" t="s">
        <v>466</v>
      </c>
      <c r="W45" s="51" t="s">
        <v>452</v>
      </c>
      <c r="X45" s="48"/>
      <c r="Y45" s="48"/>
    </row>
    <row r="46" ht="15.75" customHeight="1">
      <c r="A46" s="52" t="s">
        <v>598</v>
      </c>
      <c r="B46" s="52" t="s">
        <v>595</v>
      </c>
      <c r="C46" s="52" t="s">
        <v>596</v>
      </c>
      <c r="D46" s="52" t="s">
        <v>597</v>
      </c>
      <c r="E46" s="52" t="s">
        <v>256</v>
      </c>
      <c r="F46" s="52" t="s">
        <v>256</v>
      </c>
      <c r="G46" s="52" t="s">
        <v>256</v>
      </c>
      <c r="H46" s="52" t="s">
        <v>468</v>
      </c>
      <c r="I46" s="52" t="s">
        <v>355</v>
      </c>
      <c r="J46" s="52" t="s">
        <v>256</v>
      </c>
      <c r="K46" s="52" t="s">
        <v>467</v>
      </c>
      <c r="L46" s="53" t="s">
        <v>355</v>
      </c>
      <c r="M46" s="53" t="s">
        <v>355</v>
      </c>
      <c r="N46" s="53" t="s">
        <v>355</v>
      </c>
      <c r="O46" s="53" t="s">
        <v>355</v>
      </c>
      <c r="P46" s="53" t="s">
        <v>355</v>
      </c>
      <c r="Q46" s="53" t="s">
        <v>355</v>
      </c>
      <c r="R46" s="53" t="s">
        <v>457</v>
      </c>
      <c r="S46" s="53" t="s">
        <v>458</v>
      </c>
      <c r="T46" s="53" t="s">
        <v>256</v>
      </c>
      <c r="U46" s="53" t="s">
        <v>464</v>
      </c>
      <c r="V46" s="51" t="s">
        <v>468</v>
      </c>
      <c r="W46" s="51" t="s">
        <v>452</v>
      </c>
      <c r="X46" s="48"/>
      <c r="Y46" s="48"/>
    </row>
    <row r="47" ht="15.75" customHeight="1">
      <c r="A47" s="52" t="s">
        <v>599</v>
      </c>
      <c r="B47" s="52" t="s">
        <v>595</v>
      </c>
      <c r="C47" s="52" t="s">
        <v>596</v>
      </c>
      <c r="D47" s="52" t="s">
        <v>597</v>
      </c>
      <c r="E47" s="52" t="s">
        <v>256</v>
      </c>
      <c r="F47" s="52" t="s">
        <v>256</v>
      </c>
      <c r="G47" s="52" t="s">
        <v>256</v>
      </c>
      <c r="H47" s="52" t="s">
        <v>470</v>
      </c>
      <c r="I47" s="52" t="s">
        <v>355</v>
      </c>
      <c r="J47" s="52" t="s">
        <v>256</v>
      </c>
      <c r="K47" s="52" t="s">
        <v>469</v>
      </c>
      <c r="L47" s="53" t="s">
        <v>355</v>
      </c>
      <c r="M47" s="53" t="s">
        <v>355</v>
      </c>
      <c r="N47" s="53" t="s">
        <v>355</v>
      </c>
      <c r="O47" s="53" t="s">
        <v>355</v>
      </c>
      <c r="P47" s="53" t="s">
        <v>355</v>
      </c>
      <c r="Q47" s="53" t="s">
        <v>355</v>
      </c>
      <c r="R47" s="53" t="s">
        <v>457</v>
      </c>
      <c r="S47" s="53" t="s">
        <v>458</v>
      </c>
      <c r="T47" s="53" t="s">
        <v>256</v>
      </c>
      <c r="U47" s="53" t="s">
        <v>464</v>
      </c>
      <c r="V47" s="51" t="s">
        <v>470</v>
      </c>
      <c r="W47" s="51" t="s">
        <v>452</v>
      </c>
      <c r="X47" s="48"/>
      <c r="Y47" s="48"/>
    </row>
    <row r="48" ht="15.75" customHeight="1">
      <c r="A48" s="52" t="s">
        <v>600</v>
      </c>
      <c r="B48" s="52" t="s">
        <v>601</v>
      </c>
      <c r="C48" s="52" t="s">
        <v>602</v>
      </c>
      <c r="D48" s="52" t="s">
        <v>397</v>
      </c>
      <c r="E48" s="52" t="s">
        <v>256</v>
      </c>
      <c r="F48" s="52" t="s">
        <v>256</v>
      </c>
      <c r="G48" s="52" t="s">
        <v>256</v>
      </c>
      <c r="H48" s="52" t="s">
        <v>256</v>
      </c>
      <c r="I48" s="52" t="s">
        <v>355</v>
      </c>
      <c r="J48" s="52" t="s">
        <v>256</v>
      </c>
      <c r="K48" s="52" t="s">
        <v>471</v>
      </c>
      <c r="L48" s="53" t="s">
        <v>355</v>
      </c>
      <c r="M48" s="53" t="s">
        <v>355</v>
      </c>
      <c r="N48" s="53" t="s">
        <v>355</v>
      </c>
      <c r="O48" s="53" t="s">
        <v>355</v>
      </c>
      <c r="P48" s="53" t="s">
        <v>355</v>
      </c>
      <c r="Q48" s="53" t="s">
        <v>355</v>
      </c>
      <c r="R48" s="53" t="s">
        <v>457</v>
      </c>
      <c r="S48" s="53" t="s">
        <v>458</v>
      </c>
      <c r="T48" s="53" t="s">
        <v>256</v>
      </c>
      <c r="U48" s="53" t="s">
        <v>472</v>
      </c>
      <c r="V48" s="53" t="s">
        <v>473</v>
      </c>
      <c r="W48" s="53" t="s">
        <v>256</v>
      </c>
      <c r="X48" s="53" t="s">
        <v>256</v>
      </c>
      <c r="Y48" s="53" t="s">
        <v>452</v>
      </c>
    </row>
    <row r="49" ht="15.75" customHeight="1">
      <c r="A49" s="52" t="s">
        <v>603</v>
      </c>
      <c r="B49" s="52" t="s">
        <v>604</v>
      </c>
      <c r="C49" s="52" t="s">
        <v>605</v>
      </c>
      <c r="D49" s="52" t="s">
        <v>397</v>
      </c>
      <c r="E49" s="52" t="s">
        <v>256</v>
      </c>
      <c r="F49" s="52" t="s">
        <v>256</v>
      </c>
      <c r="G49" s="52" t="s">
        <v>256</v>
      </c>
      <c r="H49" s="52" t="s">
        <v>256</v>
      </c>
      <c r="I49" s="52" t="s">
        <v>355</v>
      </c>
      <c r="J49" s="52" t="s">
        <v>256</v>
      </c>
      <c r="K49" s="52" t="s">
        <v>474</v>
      </c>
      <c r="L49" s="53" t="s">
        <v>355</v>
      </c>
      <c r="M49" s="53" t="s">
        <v>355</v>
      </c>
      <c r="N49" s="53" t="s">
        <v>355</v>
      </c>
      <c r="O49" s="53" t="s">
        <v>355</v>
      </c>
      <c r="P49" s="53" t="s">
        <v>355</v>
      </c>
      <c r="Q49" s="53" t="s">
        <v>355</v>
      </c>
      <c r="R49" s="53" t="s">
        <v>457</v>
      </c>
      <c r="S49" s="53" t="s">
        <v>458</v>
      </c>
      <c r="T49" s="53" t="s">
        <v>256</v>
      </c>
      <c r="U49" s="53" t="s">
        <v>475</v>
      </c>
      <c r="V49" s="53" t="s">
        <v>473</v>
      </c>
      <c r="W49" s="53" t="s">
        <v>256</v>
      </c>
      <c r="X49" s="53" t="s">
        <v>256</v>
      </c>
      <c r="Y49" s="53" t="s">
        <v>452</v>
      </c>
    </row>
    <row r="50" ht="15.75" customHeight="1">
      <c r="A50" s="52" t="s">
        <v>127</v>
      </c>
      <c r="B50" s="52" t="s">
        <v>606</v>
      </c>
      <c r="C50" s="52" t="s">
        <v>607</v>
      </c>
      <c r="D50" s="52" t="s">
        <v>397</v>
      </c>
      <c r="E50" s="52" t="s">
        <v>256</v>
      </c>
      <c r="F50" s="52" t="s">
        <v>256</v>
      </c>
      <c r="G50" s="52" t="s">
        <v>256</v>
      </c>
      <c r="H50" s="52" t="s">
        <v>256</v>
      </c>
      <c r="I50" s="52" t="s">
        <v>355</v>
      </c>
      <c r="J50" s="52" t="s">
        <v>256</v>
      </c>
      <c r="K50" s="52" t="s">
        <v>476</v>
      </c>
      <c r="L50" s="53">
        <v>40000.0</v>
      </c>
      <c r="M50" s="53">
        <v>30000.0</v>
      </c>
      <c r="N50" s="53" t="s">
        <v>355</v>
      </c>
      <c r="O50" s="53">
        <v>15000.0</v>
      </c>
      <c r="P50" s="53" t="s">
        <v>355</v>
      </c>
      <c r="Q50" s="53" t="s">
        <v>355</v>
      </c>
      <c r="R50" s="53" t="s">
        <v>477</v>
      </c>
      <c r="S50" s="53" t="s">
        <v>478</v>
      </c>
      <c r="T50" s="53" t="s">
        <v>172</v>
      </c>
      <c r="U50" s="53" t="s">
        <v>479</v>
      </c>
      <c r="V50" s="53" t="s">
        <v>473</v>
      </c>
      <c r="W50" s="53" t="s">
        <v>256</v>
      </c>
      <c r="X50" s="53" t="s">
        <v>256</v>
      </c>
      <c r="Y50" s="53" t="s">
        <v>452</v>
      </c>
    </row>
    <row r="51" ht="15.75" customHeight="1">
      <c r="A51" s="33" t="s">
        <v>112</v>
      </c>
      <c r="B51" s="33" t="s">
        <v>608</v>
      </c>
      <c r="C51" s="33" t="s">
        <v>429</v>
      </c>
      <c r="D51" s="33" t="s">
        <v>421</v>
      </c>
      <c r="E51" s="33" t="s">
        <v>256</v>
      </c>
      <c r="F51" s="33" t="s">
        <v>256</v>
      </c>
      <c r="G51" s="33" t="s">
        <v>430</v>
      </c>
      <c r="H51" s="33" t="s">
        <v>431</v>
      </c>
      <c r="I51" s="33" t="s">
        <v>355</v>
      </c>
      <c r="J51" s="33" t="s">
        <v>609</v>
      </c>
      <c r="K51" s="33" t="s">
        <v>480</v>
      </c>
      <c r="W51" s="48"/>
      <c r="X51" s="48"/>
      <c r="Y51" s="48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W52" s="48"/>
      <c r="X52" s="48"/>
      <c r="Y52" s="48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W53" s="48"/>
      <c r="X53" s="48"/>
      <c r="Y53" s="48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W54" s="48"/>
      <c r="X54" s="48"/>
      <c r="Y54" s="48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W55" s="48"/>
      <c r="X55" s="48"/>
      <c r="Y55" s="48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W56" s="48"/>
      <c r="X56" s="48"/>
      <c r="Y56" s="48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W57" s="48"/>
      <c r="X57" s="48"/>
      <c r="Y57" s="48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W58" s="48"/>
      <c r="X58" s="48"/>
      <c r="Y58" s="48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W59" s="48"/>
      <c r="X59" s="48"/>
      <c r="Y59" s="48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W60" s="48"/>
      <c r="X60" s="48"/>
      <c r="Y60" s="48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W61" s="48"/>
      <c r="X61" s="48"/>
      <c r="Y61" s="48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W62" s="48"/>
      <c r="X62" s="48"/>
      <c r="Y62" s="48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W63" s="48"/>
      <c r="X63" s="48"/>
      <c r="Y63" s="48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W64" s="48"/>
      <c r="X64" s="48"/>
      <c r="Y64" s="48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W65" s="48"/>
      <c r="X65" s="48"/>
      <c r="Y65" s="48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W66" s="48"/>
      <c r="X66" s="48"/>
      <c r="Y66" s="48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W67" s="48"/>
      <c r="X67" s="48"/>
      <c r="Y67" s="48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W68" s="48"/>
      <c r="X68" s="48"/>
      <c r="Y68" s="48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W69" s="48"/>
      <c r="X69" s="48"/>
      <c r="Y69" s="48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W70" s="48"/>
      <c r="X70" s="48"/>
      <c r="Y70" s="48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W71" s="48"/>
      <c r="X71" s="48"/>
      <c r="Y71" s="48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W72" s="48"/>
      <c r="X72" s="48"/>
      <c r="Y72" s="48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W73" s="48"/>
      <c r="X73" s="48"/>
      <c r="Y73" s="48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W74" s="48"/>
      <c r="X74" s="48"/>
      <c r="Y74" s="48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W75" s="48"/>
      <c r="X75" s="48"/>
      <c r="Y75" s="48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W76" s="48"/>
      <c r="X76" s="48"/>
      <c r="Y76" s="48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W77" s="48"/>
      <c r="X77" s="48"/>
      <c r="Y77" s="48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W78" s="48"/>
      <c r="X78" s="48"/>
      <c r="Y78" s="48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W79" s="48"/>
      <c r="X79" s="48"/>
      <c r="Y79" s="48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W80" s="48"/>
      <c r="X80" s="48"/>
      <c r="Y80" s="48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W81" s="48"/>
      <c r="X81" s="48"/>
      <c r="Y81" s="48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W82" s="48"/>
      <c r="X82" s="48"/>
      <c r="Y82" s="48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W83" s="48"/>
      <c r="X83" s="48"/>
      <c r="Y83" s="48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W84" s="48"/>
      <c r="X84" s="48"/>
      <c r="Y84" s="48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W85" s="48"/>
      <c r="X85" s="48"/>
      <c r="Y85" s="48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W86" s="48"/>
      <c r="X86" s="48"/>
      <c r="Y86" s="48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W87" s="48"/>
      <c r="X87" s="48"/>
      <c r="Y87" s="48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W88" s="48"/>
      <c r="X88" s="48"/>
      <c r="Y88" s="48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W89" s="48"/>
      <c r="X89" s="48"/>
      <c r="Y89" s="48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W90" s="48"/>
      <c r="X90" s="48"/>
      <c r="Y90" s="48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W91" s="48"/>
      <c r="X91" s="48"/>
      <c r="Y91" s="48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W92" s="48"/>
      <c r="X92" s="48"/>
      <c r="Y92" s="48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W93" s="48"/>
      <c r="X93" s="48"/>
      <c r="Y93" s="48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W94" s="48"/>
      <c r="X94" s="48"/>
      <c r="Y94" s="48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W95" s="48"/>
      <c r="X95" s="48"/>
      <c r="Y95" s="48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W96" s="48"/>
      <c r="X96" s="48"/>
      <c r="Y96" s="48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W97" s="48"/>
      <c r="X97" s="48"/>
      <c r="Y97" s="48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W98" s="48"/>
      <c r="X98" s="48"/>
      <c r="Y98" s="48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W99" s="48"/>
      <c r="X99" s="48"/>
      <c r="Y99" s="48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W100" s="48"/>
      <c r="X100" s="48"/>
      <c r="Y100" s="48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W101" s="48"/>
      <c r="X101" s="48"/>
      <c r="Y101" s="48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W102" s="48"/>
      <c r="X102" s="48"/>
      <c r="Y102" s="48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W103" s="48"/>
      <c r="X103" s="48"/>
      <c r="Y103" s="48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W104" s="48"/>
      <c r="X104" s="48"/>
      <c r="Y104" s="48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W105" s="48"/>
      <c r="X105" s="48"/>
      <c r="Y105" s="48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W106" s="48"/>
      <c r="X106" s="48"/>
      <c r="Y106" s="48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W107" s="48"/>
      <c r="X107" s="48"/>
      <c r="Y107" s="48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W108" s="48"/>
      <c r="X108" s="48"/>
      <c r="Y108" s="48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W109" s="48"/>
      <c r="X109" s="48"/>
      <c r="Y109" s="48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W110" s="48"/>
      <c r="X110" s="48"/>
      <c r="Y110" s="48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W111" s="48"/>
      <c r="X111" s="48"/>
      <c r="Y111" s="48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W112" s="48"/>
      <c r="X112" s="48"/>
      <c r="Y112" s="48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W113" s="48"/>
      <c r="X113" s="48"/>
      <c r="Y113" s="48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W114" s="48"/>
      <c r="X114" s="48"/>
      <c r="Y114" s="48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W115" s="48"/>
      <c r="X115" s="48"/>
      <c r="Y115" s="48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W116" s="48"/>
      <c r="X116" s="48"/>
      <c r="Y116" s="48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W117" s="48"/>
      <c r="X117" s="48"/>
      <c r="Y117" s="48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W118" s="48"/>
      <c r="X118" s="48"/>
      <c r="Y118" s="48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W119" s="48"/>
      <c r="X119" s="48"/>
      <c r="Y119" s="48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W120" s="48"/>
      <c r="X120" s="48"/>
      <c r="Y120" s="48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W121" s="48"/>
      <c r="X121" s="48"/>
      <c r="Y121" s="48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W122" s="48"/>
      <c r="X122" s="48"/>
      <c r="Y122" s="48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W123" s="48"/>
      <c r="X123" s="48"/>
      <c r="Y123" s="48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W124" s="48"/>
      <c r="X124" s="48"/>
      <c r="Y124" s="48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W125" s="48"/>
      <c r="X125" s="48"/>
      <c r="Y125" s="48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W126" s="48"/>
      <c r="X126" s="48"/>
      <c r="Y126" s="48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W127" s="48"/>
      <c r="X127" s="48"/>
      <c r="Y127" s="48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W128" s="48"/>
      <c r="X128" s="48"/>
      <c r="Y128" s="48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W129" s="48"/>
      <c r="X129" s="48"/>
      <c r="Y129" s="48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W130" s="48"/>
      <c r="X130" s="48"/>
      <c r="Y130" s="48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W131" s="48"/>
      <c r="X131" s="48"/>
      <c r="Y131" s="48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W132" s="48"/>
      <c r="X132" s="48"/>
      <c r="Y132" s="48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W133" s="48"/>
      <c r="X133" s="48"/>
      <c r="Y133" s="48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W134" s="48"/>
      <c r="X134" s="48"/>
      <c r="Y134" s="48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W135" s="48"/>
      <c r="X135" s="48"/>
      <c r="Y135" s="48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W136" s="48"/>
      <c r="X136" s="48"/>
      <c r="Y136" s="48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W137" s="48"/>
      <c r="X137" s="48"/>
      <c r="Y137" s="48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W138" s="48"/>
      <c r="X138" s="48"/>
      <c r="Y138" s="48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W139" s="48"/>
      <c r="X139" s="48"/>
      <c r="Y139" s="48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W140" s="48"/>
      <c r="X140" s="48"/>
      <c r="Y140" s="48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W141" s="48"/>
      <c r="X141" s="48"/>
      <c r="Y141" s="48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W142" s="48"/>
      <c r="X142" s="48"/>
      <c r="Y142" s="48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W143" s="48"/>
      <c r="X143" s="48"/>
      <c r="Y143" s="48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W144" s="48"/>
      <c r="X144" s="48"/>
      <c r="Y144" s="48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W145" s="48"/>
      <c r="X145" s="48"/>
      <c r="Y145" s="48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W146" s="48"/>
      <c r="X146" s="48"/>
      <c r="Y146" s="48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W147" s="48"/>
      <c r="X147" s="48"/>
      <c r="Y147" s="48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W148" s="48"/>
      <c r="X148" s="48"/>
      <c r="Y148" s="48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W149" s="48"/>
      <c r="X149" s="48"/>
      <c r="Y149" s="48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W150" s="48"/>
      <c r="X150" s="48"/>
      <c r="Y150" s="48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W151" s="48"/>
      <c r="X151" s="48"/>
      <c r="Y151" s="48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W152" s="48"/>
      <c r="X152" s="48"/>
      <c r="Y152" s="48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W153" s="48"/>
      <c r="X153" s="48"/>
      <c r="Y153" s="48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W154" s="48"/>
      <c r="X154" s="48"/>
      <c r="Y154" s="48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W155" s="48"/>
      <c r="X155" s="48"/>
      <c r="Y155" s="48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W156" s="48"/>
      <c r="X156" s="48"/>
      <c r="Y156" s="48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W157" s="48"/>
      <c r="X157" s="48"/>
      <c r="Y157" s="48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W158" s="48"/>
      <c r="X158" s="48"/>
      <c r="Y158" s="48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W159" s="48"/>
      <c r="X159" s="48"/>
      <c r="Y159" s="48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W160" s="48"/>
      <c r="X160" s="48"/>
      <c r="Y160" s="48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W161" s="48"/>
      <c r="X161" s="48"/>
      <c r="Y161" s="48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W162" s="48"/>
      <c r="X162" s="48"/>
      <c r="Y162" s="48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W163" s="48"/>
      <c r="X163" s="48"/>
      <c r="Y163" s="48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W164" s="48"/>
      <c r="X164" s="48"/>
      <c r="Y164" s="48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W165" s="48"/>
      <c r="X165" s="48"/>
      <c r="Y165" s="48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W166" s="48"/>
      <c r="X166" s="48"/>
      <c r="Y166" s="48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W167" s="48"/>
      <c r="X167" s="48"/>
      <c r="Y167" s="48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W168" s="48"/>
      <c r="X168" s="48"/>
      <c r="Y168" s="48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W169" s="48"/>
      <c r="X169" s="48"/>
      <c r="Y169" s="48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W170" s="48"/>
      <c r="X170" s="48"/>
      <c r="Y170" s="48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W171" s="48"/>
      <c r="X171" s="48"/>
      <c r="Y171" s="48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W172" s="48"/>
      <c r="X172" s="48"/>
      <c r="Y172" s="48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W173" s="48"/>
      <c r="X173" s="48"/>
      <c r="Y173" s="48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W174" s="48"/>
      <c r="X174" s="48"/>
      <c r="Y174" s="48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W175" s="48"/>
      <c r="X175" s="48"/>
      <c r="Y175" s="48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W176" s="48"/>
      <c r="X176" s="48"/>
      <c r="Y176" s="48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W177" s="48"/>
      <c r="X177" s="48"/>
      <c r="Y177" s="48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W178" s="48"/>
      <c r="X178" s="48"/>
      <c r="Y178" s="48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W179" s="48"/>
      <c r="X179" s="48"/>
      <c r="Y179" s="48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W180" s="48"/>
      <c r="X180" s="48"/>
      <c r="Y180" s="48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W181" s="48"/>
      <c r="X181" s="48"/>
      <c r="Y181" s="48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W182" s="48"/>
      <c r="X182" s="48"/>
      <c r="Y182" s="48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W183" s="48"/>
      <c r="X183" s="48"/>
      <c r="Y183" s="48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W184" s="48"/>
      <c r="X184" s="48"/>
      <c r="Y184" s="48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W185" s="48"/>
      <c r="X185" s="48"/>
      <c r="Y185" s="48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W186" s="48"/>
      <c r="X186" s="48"/>
      <c r="Y186" s="48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W187" s="48"/>
      <c r="X187" s="48"/>
      <c r="Y187" s="48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W188" s="48"/>
      <c r="X188" s="48"/>
      <c r="Y188" s="48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W189" s="48"/>
      <c r="X189" s="48"/>
      <c r="Y189" s="48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W190" s="48"/>
      <c r="X190" s="48"/>
      <c r="Y190" s="48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W191" s="48"/>
      <c r="X191" s="48"/>
      <c r="Y191" s="48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W192" s="48"/>
      <c r="X192" s="48"/>
      <c r="Y192" s="48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W193" s="48"/>
      <c r="X193" s="48"/>
      <c r="Y193" s="48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W194" s="48"/>
      <c r="X194" s="48"/>
      <c r="Y194" s="48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W195" s="48"/>
      <c r="X195" s="48"/>
      <c r="Y195" s="48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W196" s="48"/>
      <c r="X196" s="48"/>
      <c r="Y196" s="48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W197" s="48"/>
      <c r="X197" s="48"/>
      <c r="Y197" s="48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W198" s="48"/>
      <c r="X198" s="48"/>
      <c r="Y198" s="48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W199" s="48"/>
      <c r="X199" s="48"/>
      <c r="Y199" s="48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W200" s="48"/>
      <c r="X200" s="48"/>
      <c r="Y200" s="48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W201" s="48"/>
      <c r="X201" s="48"/>
      <c r="Y201" s="48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W202" s="48"/>
      <c r="X202" s="48"/>
      <c r="Y202" s="48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W203" s="48"/>
      <c r="X203" s="48"/>
      <c r="Y203" s="48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W204" s="48"/>
      <c r="X204" s="48"/>
      <c r="Y204" s="48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W205" s="48"/>
      <c r="X205" s="48"/>
      <c r="Y205" s="48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W206" s="48"/>
      <c r="X206" s="48"/>
      <c r="Y206" s="48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W207" s="48"/>
      <c r="X207" s="48"/>
      <c r="Y207" s="48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W208" s="48"/>
      <c r="X208" s="48"/>
      <c r="Y208" s="48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W209" s="48"/>
      <c r="X209" s="48"/>
      <c r="Y209" s="48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W210" s="48"/>
      <c r="X210" s="48"/>
      <c r="Y210" s="48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W211" s="48"/>
      <c r="X211" s="48"/>
      <c r="Y211" s="48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W212" s="48"/>
      <c r="X212" s="48"/>
      <c r="Y212" s="48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W213" s="48"/>
      <c r="X213" s="48"/>
      <c r="Y213" s="48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W214" s="48"/>
      <c r="X214" s="48"/>
      <c r="Y214" s="48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W215" s="48"/>
      <c r="X215" s="48"/>
      <c r="Y215" s="48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W216" s="48"/>
      <c r="X216" s="48"/>
      <c r="Y216" s="48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W217" s="48"/>
      <c r="X217" s="48"/>
      <c r="Y217" s="48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W218" s="48"/>
      <c r="X218" s="48"/>
      <c r="Y218" s="48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W219" s="48"/>
      <c r="X219" s="48"/>
      <c r="Y219" s="48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W220" s="48"/>
      <c r="X220" s="48"/>
      <c r="Y220" s="48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W221" s="48"/>
      <c r="X221" s="48"/>
      <c r="Y221" s="48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W222" s="48"/>
      <c r="X222" s="48"/>
      <c r="Y222" s="48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W223" s="48"/>
      <c r="X223" s="48"/>
      <c r="Y223" s="48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W224" s="48"/>
      <c r="X224" s="48"/>
      <c r="Y224" s="48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W225" s="48"/>
      <c r="X225" s="48"/>
      <c r="Y225" s="48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W226" s="48"/>
      <c r="X226" s="48"/>
      <c r="Y226" s="48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W227" s="48"/>
      <c r="X227" s="48"/>
      <c r="Y227" s="48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W228" s="48"/>
      <c r="X228" s="48"/>
      <c r="Y228" s="48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W229" s="48"/>
      <c r="X229" s="48"/>
      <c r="Y229" s="48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W230" s="48"/>
      <c r="X230" s="48"/>
      <c r="Y230" s="48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W231" s="48"/>
      <c r="X231" s="48"/>
      <c r="Y231" s="48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W232" s="48"/>
      <c r="X232" s="48"/>
      <c r="Y232" s="48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W233" s="48"/>
      <c r="X233" s="48"/>
      <c r="Y233" s="48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W234" s="48"/>
      <c r="X234" s="48"/>
      <c r="Y234" s="48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W235" s="48"/>
      <c r="X235" s="48"/>
      <c r="Y235" s="48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W236" s="48"/>
      <c r="X236" s="48"/>
      <c r="Y236" s="48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W237" s="48"/>
      <c r="X237" s="48"/>
      <c r="Y237" s="48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W238" s="48"/>
      <c r="X238" s="48"/>
      <c r="Y238" s="48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W239" s="48"/>
      <c r="X239" s="48"/>
      <c r="Y239" s="48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W240" s="48"/>
      <c r="X240" s="48"/>
      <c r="Y240" s="48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W241" s="48"/>
      <c r="X241" s="48"/>
      <c r="Y241" s="48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W242" s="48"/>
      <c r="X242" s="48"/>
      <c r="Y242" s="48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W243" s="48"/>
      <c r="X243" s="48"/>
      <c r="Y243" s="48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W244" s="48"/>
      <c r="X244" s="48"/>
      <c r="Y244" s="48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W245" s="48"/>
      <c r="X245" s="48"/>
      <c r="Y245" s="48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W246" s="48"/>
      <c r="X246" s="48"/>
      <c r="Y246" s="48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W247" s="48"/>
      <c r="X247" s="48"/>
      <c r="Y247" s="48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W248" s="48"/>
      <c r="X248" s="48"/>
      <c r="Y248" s="48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W249" s="48"/>
      <c r="X249" s="48"/>
      <c r="Y249" s="48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W250" s="48"/>
      <c r="X250" s="48"/>
      <c r="Y250" s="48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W251" s="48"/>
      <c r="X251" s="48"/>
      <c r="Y251" s="48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W252" s="48"/>
      <c r="X252" s="48"/>
      <c r="Y252" s="48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W253" s="48"/>
      <c r="X253" s="48"/>
      <c r="Y253" s="48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W254" s="48"/>
      <c r="X254" s="48"/>
      <c r="Y254" s="48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W255" s="48"/>
      <c r="X255" s="48"/>
      <c r="Y255" s="48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W256" s="48"/>
      <c r="X256" s="48"/>
      <c r="Y256" s="48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W257" s="48"/>
      <c r="X257" s="48"/>
      <c r="Y257" s="48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W258" s="48"/>
      <c r="X258" s="48"/>
      <c r="Y258" s="48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W259" s="48"/>
      <c r="X259" s="48"/>
      <c r="Y259" s="48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W260" s="48"/>
      <c r="X260" s="48"/>
      <c r="Y260" s="48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W261" s="48"/>
      <c r="X261" s="48"/>
      <c r="Y261" s="48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W262" s="48"/>
      <c r="X262" s="48"/>
      <c r="Y262" s="48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W263" s="48"/>
      <c r="X263" s="48"/>
      <c r="Y263" s="48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W264" s="48"/>
      <c r="X264" s="48"/>
      <c r="Y264" s="48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W265" s="48"/>
      <c r="X265" s="48"/>
      <c r="Y265" s="48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W266" s="48"/>
      <c r="X266" s="48"/>
      <c r="Y266" s="48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W267" s="48"/>
      <c r="X267" s="48"/>
      <c r="Y267" s="48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W268" s="48"/>
      <c r="X268" s="48"/>
      <c r="Y268" s="48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W269" s="48"/>
      <c r="X269" s="48"/>
      <c r="Y269" s="48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W270" s="48"/>
      <c r="X270" s="48"/>
      <c r="Y270" s="48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W271" s="48"/>
      <c r="X271" s="48"/>
      <c r="Y271" s="48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W272" s="48"/>
      <c r="X272" s="48"/>
      <c r="Y272" s="48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W273" s="48"/>
      <c r="X273" s="48"/>
      <c r="Y273" s="48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W274" s="48"/>
      <c r="X274" s="48"/>
      <c r="Y274" s="48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W275" s="48"/>
      <c r="X275" s="48"/>
      <c r="Y275" s="48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W276" s="48"/>
      <c r="X276" s="48"/>
      <c r="Y276" s="48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W277" s="48"/>
      <c r="X277" s="48"/>
      <c r="Y277" s="48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W278" s="48"/>
      <c r="X278" s="48"/>
      <c r="Y278" s="48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W279" s="48"/>
      <c r="X279" s="48"/>
      <c r="Y279" s="48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W280" s="48"/>
      <c r="X280" s="48"/>
      <c r="Y280" s="48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W281" s="48"/>
      <c r="X281" s="48"/>
      <c r="Y281" s="48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W282" s="48"/>
      <c r="X282" s="48"/>
      <c r="Y282" s="48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W283" s="48"/>
      <c r="X283" s="48"/>
      <c r="Y283" s="48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W284" s="48"/>
      <c r="X284" s="48"/>
      <c r="Y284" s="48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W285" s="48"/>
      <c r="X285" s="48"/>
      <c r="Y285" s="48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W286" s="48"/>
      <c r="X286" s="48"/>
      <c r="Y286" s="48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W287" s="48"/>
      <c r="X287" s="48"/>
      <c r="Y287" s="48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W288" s="48"/>
      <c r="X288" s="48"/>
      <c r="Y288" s="48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W289" s="48"/>
      <c r="X289" s="48"/>
      <c r="Y289" s="48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W290" s="48"/>
      <c r="X290" s="48"/>
      <c r="Y290" s="48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W291" s="48"/>
      <c r="X291" s="48"/>
      <c r="Y291" s="48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W292" s="48"/>
      <c r="X292" s="48"/>
      <c r="Y292" s="48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W293" s="48"/>
      <c r="X293" s="48"/>
      <c r="Y293" s="48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W294" s="48"/>
      <c r="X294" s="48"/>
      <c r="Y294" s="48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W295" s="48"/>
      <c r="X295" s="48"/>
      <c r="Y295" s="48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W296" s="48"/>
      <c r="X296" s="48"/>
      <c r="Y296" s="48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W297" s="48"/>
      <c r="X297" s="48"/>
      <c r="Y297" s="48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W298" s="48"/>
      <c r="X298" s="48"/>
      <c r="Y298" s="48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W299" s="48"/>
      <c r="X299" s="48"/>
      <c r="Y299" s="48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W300" s="48"/>
      <c r="X300" s="48"/>
      <c r="Y300" s="48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W301" s="48"/>
      <c r="X301" s="48"/>
      <c r="Y301" s="48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W302" s="48"/>
      <c r="X302" s="48"/>
      <c r="Y302" s="48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W303" s="48"/>
      <c r="X303" s="48"/>
      <c r="Y303" s="48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W304" s="48"/>
      <c r="X304" s="48"/>
      <c r="Y304" s="48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W305" s="48"/>
      <c r="X305" s="48"/>
      <c r="Y305" s="48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W306" s="48"/>
      <c r="X306" s="48"/>
      <c r="Y306" s="48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W307" s="48"/>
      <c r="X307" s="48"/>
      <c r="Y307" s="48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W308" s="48"/>
      <c r="X308" s="48"/>
      <c r="Y308" s="48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W309" s="48"/>
      <c r="X309" s="48"/>
      <c r="Y309" s="48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W310" s="48"/>
      <c r="X310" s="48"/>
      <c r="Y310" s="48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W311" s="48"/>
      <c r="X311" s="48"/>
      <c r="Y311" s="48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W312" s="48"/>
      <c r="X312" s="48"/>
      <c r="Y312" s="48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W313" s="48"/>
      <c r="X313" s="48"/>
      <c r="Y313" s="48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W314" s="48"/>
      <c r="X314" s="48"/>
      <c r="Y314" s="48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W315" s="48"/>
      <c r="X315" s="48"/>
      <c r="Y315" s="48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W316" s="48"/>
      <c r="X316" s="48"/>
      <c r="Y316" s="48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W317" s="48"/>
      <c r="X317" s="48"/>
      <c r="Y317" s="48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W318" s="48"/>
      <c r="X318" s="48"/>
      <c r="Y318" s="48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W319" s="48"/>
      <c r="X319" s="48"/>
      <c r="Y319" s="48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W320" s="48"/>
      <c r="X320" s="48"/>
      <c r="Y320" s="48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W321" s="48"/>
      <c r="X321" s="48"/>
      <c r="Y321" s="48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W322" s="48"/>
      <c r="X322" s="48"/>
      <c r="Y322" s="48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W323" s="48"/>
      <c r="X323" s="48"/>
      <c r="Y323" s="48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W324" s="48"/>
      <c r="X324" s="48"/>
      <c r="Y324" s="48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W325" s="48"/>
      <c r="X325" s="48"/>
      <c r="Y325" s="48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W326" s="48"/>
      <c r="X326" s="48"/>
      <c r="Y326" s="48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W327" s="48"/>
      <c r="X327" s="48"/>
      <c r="Y327" s="48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W328" s="48"/>
      <c r="X328" s="48"/>
      <c r="Y328" s="48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W329" s="48"/>
      <c r="X329" s="48"/>
      <c r="Y329" s="48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W330" s="48"/>
      <c r="X330" s="48"/>
      <c r="Y330" s="48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W331" s="48"/>
      <c r="X331" s="48"/>
      <c r="Y331" s="48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W332" s="48"/>
      <c r="X332" s="48"/>
      <c r="Y332" s="48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W333" s="48"/>
      <c r="X333" s="48"/>
      <c r="Y333" s="48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W334" s="48"/>
      <c r="X334" s="48"/>
      <c r="Y334" s="48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W335" s="48"/>
      <c r="X335" s="48"/>
      <c r="Y335" s="48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W336" s="48"/>
      <c r="X336" s="48"/>
      <c r="Y336" s="48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W337" s="48"/>
      <c r="X337" s="48"/>
      <c r="Y337" s="48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W338" s="48"/>
      <c r="X338" s="48"/>
      <c r="Y338" s="48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W339" s="48"/>
      <c r="X339" s="48"/>
      <c r="Y339" s="48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W340" s="48"/>
      <c r="X340" s="48"/>
      <c r="Y340" s="48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W341" s="48"/>
      <c r="X341" s="48"/>
      <c r="Y341" s="48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W342" s="48"/>
      <c r="X342" s="48"/>
      <c r="Y342" s="48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W343" s="48"/>
      <c r="X343" s="48"/>
      <c r="Y343" s="48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W344" s="48"/>
      <c r="X344" s="48"/>
      <c r="Y344" s="48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W345" s="48"/>
      <c r="X345" s="48"/>
      <c r="Y345" s="48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W346" s="48"/>
      <c r="X346" s="48"/>
      <c r="Y346" s="48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W347" s="48"/>
      <c r="X347" s="48"/>
      <c r="Y347" s="48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W348" s="48"/>
      <c r="X348" s="48"/>
      <c r="Y348" s="48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W349" s="48"/>
      <c r="X349" s="48"/>
      <c r="Y349" s="48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W350" s="48"/>
      <c r="X350" s="48"/>
      <c r="Y350" s="48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W351" s="48"/>
      <c r="X351" s="48"/>
      <c r="Y351" s="48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W352" s="48"/>
      <c r="X352" s="48"/>
      <c r="Y352" s="48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W353" s="48"/>
      <c r="X353" s="48"/>
      <c r="Y353" s="48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W354" s="48"/>
      <c r="X354" s="48"/>
      <c r="Y354" s="48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W355" s="48"/>
      <c r="X355" s="48"/>
      <c r="Y355" s="48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W356" s="48"/>
      <c r="X356" s="48"/>
      <c r="Y356" s="48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W357" s="48"/>
      <c r="X357" s="48"/>
      <c r="Y357" s="48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W358" s="48"/>
      <c r="X358" s="48"/>
      <c r="Y358" s="48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W359" s="48"/>
      <c r="X359" s="48"/>
      <c r="Y359" s="48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W360" s="48"/>
      <c r="X360" s="48"/>
      <c r="Y360" s="48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W361" s="48"/>
      <c r="X361" s="48"/>
      <c r="Y361" s="48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W362" s="48"/>
      <c r="X362" s="48"/>
      <c r="Y362" s="48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W363" s="48"/>
      <c r="X363" s="48"/>
      <c r="Y363" s="48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W364" s="48"/>
      <c r="X364" s="48"/>
      <c r="Y364" s="48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W365" s="48"/>
      <c r="X365" s="48"/>
      <c r="Y365" s="48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W366" s="48"/>
      <c r="X366" s="48"/>
      <c r="Y366" s="48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W367" s="48"/>
      <c r="X367" s="48"/>
      <c r="Y367" s="48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W368" s="48"/>
      <c r="X368" s="48"/>
      <c r="Y368" s="48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W369" s="48"/>
      <c r="X369" s="48"/>
      <c r="Y369" s="48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W370" s="48"/>
      <c r="X370" s="48"/>
      <c r="Y370" s="48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W371" s="48"/>
      <c r="X371" s="48"/>
      <c r="Y371" s="48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W372" s="48"/>
      <c r="X372" s="48"/>
      <c r="Y372" s="48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W373" s="48"/>
      <c r="X373" s="48"/>
      <c r="Y373" s="48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W374" s="48"/>
      <c r="X374" s="48"/>
      <c r="Y374" s="48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W375" s="48"/>
      <c r="X375" s="48"/>
      <c r="Y375" s="48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W376" s="48"/>
      <c r="X376" s="48"/>
      <c r="Y376" s="48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W377" s="48"/>
      <c r="X377" s="48"/>
      <c r="Y377" s="48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W378" s="48"/>
      <c r="X378" s="48"/>
      <c r="Y378" s="48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W379" s="48"/>
      <c r="X379" s="48"/>
      <c r="Y379" s="48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W380" s="48"/>
      <c r="X380" s="48"/>
      <c r="Y380" s="48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W381" s="48"/>
      <c r="X381" s="48"/>
      <c r="Y381" s="48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W382" s="48"/>
      <c r="X382" s="48"/>
      <c r="Y382" s="48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W383" s="48"/>
      <c r="X383" s="48"/>
      <c r="Y383" s="48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W384" s="48"/>
      <c r="X384" s="48"/>
      <c r="Y384" s="48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W385" s="48"/>
      <c r="X385" s="48"/>
      <c r="Y385" s="48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W386" s="48"/>
      <c r="X386" s="48"/>
      <c r="Y386" s="48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W387" s="48"/>
      <c r="X387" s="48"/>
      <c r="Y387" s="48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W388" s="48"/>
      <c r="X388" s="48"/>
      <c r="Y388" s="48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W389" s="48"/>
      <c r="X389" s="48"/>
      <c r="Y389" s="48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W390" s="48"/>
      <c r="X390" s="48"/>
      <c r="Y390" s="48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W391" s="48"/>
      <c r="X391" s="48"/>
      <c r="Y391" s="48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W392" s="48"/>
      <c r="X392" s="48"/>
      <c r="Y392" s="48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W393" s="48"/>
      <c r="X393" s="48"/>
      <c r="Y393" s="48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W394" s="48"/>
      <c r="X394" s="48"/>
      <c r="Y394" s="48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W395" s="48"/>
      <c r="X395" s="48"/>
      <c r="Y395" s="48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W396" s="48"/>
      <c r="X396" s="48"/>
      <c r="Y396" s="48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W397" s="48"/>
      <c r="X397" s="48"/>
      <c r="Y397" s="48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W398" s="48"/>
      <c r="X398" s="48"/>
      <c r="Y398" s="48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W399" s="48"/>
      <c r="X399" s="48"/>
      <c r="Y399" s="48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W400" s="48"/>
      <c r="X400" s="48"/>
      <c r="Y400" s="48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W401" s="48"/>
      <c r="X401" s="48"/>
      <c r="Y401" s="48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W402" s="48"/>
      <c r="X402" s="48"/>
      <c r="Y402" s="48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W403" s="48"/>
      <c r="X403" s="48"/>
      <c r="Y403" s="48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W404" s="48"/>
      <c r="X404" s="48"/>
      <c r="Y404" s="48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W405" s="48"/>
      <c r="X405" s="48"/>
      <c r="Y405" s="48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W406" s="48"/>
      <c r="X406" s="48"/>
      <c r="Y406" s="48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W407" s="48"/>
      <c r="X407" s="48"/>
      <c r="Y407" s="48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W408" s="48"/>
      <c r="X408" s="48"/>
      <c r="Y408" s="48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W409" s="48"/>
      <c r="X409" s="48"/>
      <c r="Y409" s="48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W410" s="48"/>
      <c r="X410" s="48"/>
      <c r="Y410" s="48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W411" s="48"/>
      <c r="X411" s="48"/>
      <c r="Y411" s="48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W412" s="48"/>
      <c r="X412" s="48"/>
      <c r="Y412" s="48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W413" s="48"/>
      <c r="X413" s="48"/>
      <c r="Y413" s="48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W414" s="48"/>
      <c r="X414" s="48"/>
      <c r="Y414" s="48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W415" s="48"/>
      <c r="X415" s="48"/>
      <c r="Y415" s="48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W416" s="48"/>
      <c r="X416" s="48"/>
      <c r="Y416" s="48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W417" s="48"/>
      <c r="X417" s="48"/>
      <c r="Y417" s="48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W418" s="48"/>
      <c r="X418" s="48"/>
      <c r="Y418" s="48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W419" s="48"/>
      <c r="X419" s="48"/>
      <c r="Y419" s="48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W420" s="48"/>
      <c r="X420" s="48"/>
      <c r="Y420" s="48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W421" s="48"/>
      <c r="X421" s="48"/>
      <c r="Y421" s="48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W422" s="48"/>
      <c r="X422" s="48"/>
      <c r="Y422" s="48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W423" s="48"/>
      <c r="X423" s="48"/>
      <c r="Y423" s="48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W424" s="48"/>
      <c r="X424" s="48"/>
      <c r="Y424" s="48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W425" s="48"/>
      <c r="X425" s="48"/>
      <c r="Y425" s="48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W426" s="48"/>
      <c r="X426" s="48"/>
      <c r="Y426" s="48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W427" s="48"/>
      <c r="X427" s="48"/>
      <c r="Y427" s="48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W428" s="48"/>
      <c r="X428" s="48"/>
      <c r="Y428" s="48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W429" s="48"/>
      <c r="X429" s="48"/>
      <c r="Y429" s="48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W430" s="48"/>
      <c r="X430" s="48"/>
      <c r="Y430" s="48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W431" s="48"/>
      <c r="X431" s="48"/>
      <c r="Y431" s="48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W432" s="48"/>
      <c r="X432" s="48"/>
      <c r="Y432" s="48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W433" s="48"/>
      <c r="X433" s="48"/>
      <c r="Y433" s="48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W434" s="48"/>
      <c r="X434" s="48"/>
      <c r="Y434" s="48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W435" s="48"/>
      <c r="X435" s="48"/>
      <c r="Y435" s="48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W436" s="48"/>
      <c r="X436" s="48"/>
      <c r="Y436" s="48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W437" s="48"/>
      <c r="X437" s="48"/>
      <c r="Y437" s="48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W438" s="48"/>
      <c r="X438" s="48"/>
      <c r="Y438" s="48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W439" s="48"/>
      <c r="X439" s="48"/>
      <c r="Y439" s="48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W440" s="48"/>
      <c r="X440" s="48"/>
      <c r="Y440" s="48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W441" s="48"/>
      <c r="X441" s="48"/>
      <c r="Y441" s="48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W442" s="48"/>
      <c r="X442" s="48"/>
      <c r="Y442" s="48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W443" s="48"/>
      <c r="X443" s="48"/>
      <c r="Y443" s="48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W444" s="48"/>
      <c r="X444" s="48"/>
      <c r="Y444" s="48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W445" s="48"/>
      <c r="X445" s="48"/>
      <c r="Y445" s="48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W446" s="48"/>
      <c r="X446" s="48"/>
      <c r="Y446" s="48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W447" s="48"/>
      <c r="X447" s="48"/>
      <c r="Y447" s="48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W448" s="48"/>
      <c r="X448" s="48"/>
      <c r="Y448" s="48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W449" s="48"/>
      <c r="X449" s="48"/>
      <c r="Y449" s="48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W450" s="48"/>
      <c r="X450" s="48"/>
      <c r="Y450" s="48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W451" s="48"/>
      <c r="X451" s="48"/>
      <c r="Y451" s="48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W452" s="48"/>
      <c r="X452" s="48"/>
      <c r="Y452" s="48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W453" s="48"/>
      <c r="X453" s="48"/>
      <c r="Y453" s="48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W454" s="48"/>
      <c r="X454" s="48"/>
      <c r="Y454" s="48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W455" s="48"/>
      <c r="X455" s="48"/>
      <c r="Y455" s="48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W456" s="48"/>
      <c r="X456" s="48"/>
      <c r="Y456" s="48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W457" s="48"/>
      <c r="X457" s="48"/>
      <c r="Y457" s="48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W458" s="48"/>
      <c r="X458" s="48"/>
      <c r="Y458" s="48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W459" s="48"/>
      <c r="X459" s="48"/>
      <c r="Y459" s="48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W460" s="48"/>
      <c r="X460" s="48"/>
      <c r="Y460" s="48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W461" s="48"/>
      <c r="X461" s="48"/>
      <c r="Y461" s="48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W462" s="48"/>
      <c r="X462" s="48"/>
      <c r="Y462" s="48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W463" s="48"/>
      <c r="X463" s="48"/>
      <c r="Y463" s="48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W464" s="48"/>
      <c r="X464" s="48"/>
      <c r="Y464" s="48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W465" s="48"/>
      <c r="X465" s="48"/>
      <c r="Y465" s="48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W466" s="48"/>
      <c r="X466" s="48"/>
      <c r="Y466" s="48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W467" s="48"/>
      <c r="X467" s="48"/>
      <c r="Y467" s="48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W468" s="48"/>
      <c r="X468" s="48"/>
      <c r="Y468" s="48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W469" s="48"/>
      <c r="X469" s="48"/>
      <c r="Y469" s="48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W470" s="48"/>
      <c r="X470" s="48"/>
      <c r="Y470" s="48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W471" s="48"/>
      <c r="X471" s="48"/>
      <c r="Y471" s="48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W472" s="48"/>
      <c r="X472" s="48"/>
      <c r="Y472" s="48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W473" s="48"/>
      <c r="X473" s="48"/>
      <c r="Y473" s="48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W474" s="48"/>
      <c r="X474" s="48"/>
      <c r="Y474" s="48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W475" s="48"/>
      <c r="X475" s="48"/>
      <c r="Y475" s="48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W476" s="48"/>
      <c r="X476" s="48"/>
      <c r="Y476" s="48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W477" s="48"/>
      <c r="X477" s="48"/>
      <c r="Y477" s="48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W478" s="48"/>
      <c r="X478" s="48"/>
      <c r="Y478" s="48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W479" s="48"/>
      <c r="X479" s="48"/>
      <c r="Y479" s="48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W480" s="48"/>
      <c r="X480" s="48"/>
      <c r="Y480" s="48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W481" s="48"/>
      <c r="X481" s="48"/>
      <c r="Y481" s="48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W482" s="48"/>
      <c r="X482" s="48"/>
      <c r="Y482" s="48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W483" s="48"/>
      <c r="X483" s="48"/>
      <c r="Y483" s="48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W484" s="48"/>
      <c r="X484" s="48"/>
      <c r="Y484" s="48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W485" s="48"/>
      <c r="X485" s="48"/>
      <c r="Y485" s="48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W486" s="48"/>
      <c r="X486" s="48"/>
      <c r="Y486" s="48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W487" s="48"/>
      <c r="X487" s="48"/>
      <c r="Y487" s="48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W488" s="48"/>
      <c r="X488" s="48"/>
      <c r="Y488" s="48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W489" s="48"/>
      <c r="X489" s="48"/>
      <c r="Y489" s="48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W490" s="48"/>
      <c r="X490" s="48"/>
      <c r="Y490" s="48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W491" s="48"/>
      <c r="X491" s="48"/>
      <c r="Y491" s="48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W492" s="48"/>
      <c r="X492" s="48"/>
      <c r="Y492" s="48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W493" s="48"/>
      <c r="X493" s="48"/>
      <c r="Y493" s="48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W494" s="48"/>
      <c r="X494" s="48"/>
      <c r="Y494" s="48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W495" s="48"/>
      <c r="X495" s="48"/>
      <c r="Y495" s="48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W496" s="48"/>
      <c r="X496" s="48"/>
      <c r="Y496" s="48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W497" s="48"/>
      <c r="X497" s="48"/>
      <c r="Y497" s="48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W498" s="48"/>
      <c r="X498" s="48"/>
      <c r="Y498" s="48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W499" s="48"/>
      <c r="X499" s="48"/>
      <c r="Y499" s="48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W500" s="48"/>
      <c r="X500" s="48"/>
      <c r="Y500" s="48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W501" s="48"/>
      <c r="X501" s="48"/>
      <c r="Y501" s="48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W502" s="48"/>
      <c r="X502" s="48"/>
      <c r="Y502" s="48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W503" s="48"/>
      <c r="X503" s="48"/>
      <c r="Y503" s="48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W504" s="48"/>
      <c r="X504" s="48"/>
      <c r="Y504" s="48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W505" s="48"/>
      <c r="X505" s="48"/>
      <c r="Y505" s="48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W506" s="48"/>
      <c r="X506" s="48"/>
      <c r="Y506" s="48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W507" s="48"/>
      <c r="X507" s="48"/>
      <c r="Y507" s="48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W508" s="48"/>
      <c r="X508" s="48"/>
      <c r="Y508" s="48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W509" s="48"/>
      <c r="X509" s="48"/>
      <c r="Y509" s="48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W510" s="48"/>
      <c r="X510" s="48"/>
      <c r="Y510" s="48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W511" s="48"/>
      <c r="X511" s="48"/>
      <c r="Y511" s="48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W512" s="48"/>
      <c r="X512" s="48"/>
      <c r="Y512" s="48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W513" s="48"/>
      <c r="X513" s="48"/>
      <c r="Y513" s="48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W514" s="48"/>
      <c r="X514" s="48"/>
      <c r="Y514" s="48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W515" s="48"/>
      <c r="X515" s="48"/>
      <c r="Y515" s="48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W516" s="48"/>
      <c r="X516" s="48"/>
      <c r="Y516" s="48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W517" s="48"/>
      <c r="X517" s="48"/>
      <c r="Y517" s="48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W518" s="48"/>
      <c r="X518" s="48"/>
      <c r="Y518" s="48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W519" s="48"/>
      <c r="X519" s="48"/>
      <c r="Y519" s="48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W520" s="48"/>
      <c r="X520" s="48"/>
      <c r="Y520" s="48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W521" s="48"/>
      <c r="X521" s="48"/>
      <c r="Y521" s="48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W522" s="48"/>
      <c r="X522" s="48"/>
      <c r="Y522" s="48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W523" s="48"/>
      <c r="X523" s="48"/>
      <c r="Y523" s="48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W524" s="48"/>
      <c r="X524" s="48"/>
      <c r="Y524" s="48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W525" s="48"/>
      <c r="X525" s="48"/>
      <c r="Y525" s="48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W526" s="48"/>
      <c r="X526" s="48"/>
      <c r="Y526" s="48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W527" s="48"/>
      <c r="X527" s="48"/>
      <c r="Y527" s="48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W528" s="48"/>
      <c r="X528" s="48"/>
      <c r="Y528" s="48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W529" s="48"/>
      <c r="X529" s="48"/>
      <c r="Y529" s="48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W530" s="48"/>
      <c r="X530" s="48"/>
      <c r="Y530" s="48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W531" s="48"/>
      <c r="X531" s="48"/>
      <c r="Y531" s="48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W532" s="48"/>
      <c r="X532" s="48"/>
      <c r="Y532" s="48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W533" s="48"/>
      <c r="X533" s="48"/>
      <c r="Y533" s="48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W534" s="48"/>
      <c r="X534" s="48"/>
      <c r="Y534" s="48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W535" s="48"/>
      <c r="X535" s="48"/>
      <c r="Y535" s="48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W536" s="48"/>
      <c r="X536" s="48"/>
      <c r="Y536" s="48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W537" s="48"/>
      <c r="X537" s="48"/>
      <c r="Y537" s="48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W538" s="48"/>
      <c r="X538" s="48"/>
      <c r="Y538" s="48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W539" s="48"/>
      <c r="X539" s="48"/>
      <c r="Y539" s="48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W540" s="48"/>
      <c r="X540" s="48"/>
      <c r="Y540" s="48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W541" s="48"/>
      <c r="X541" s="48"/>
      <c r="Y541" s="48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W542" s="48"/>
      <c r="X542" s="48"/>
      <c r="Y542" s="48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W543" s="48"/>
      <c r="X543" s="48"/>
      <c r="Y543" s="48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W544" s="48"/>
      <c r="X544" s="48"/>
      <c r="Y544" s="48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W545" s="48"/>
      <c r="X545" s="48"/>
      <c r="Y545" s="48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W546" s="48"/>
      <c r="X546" s="48"/>
      <c r="Y546" s="48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W547" s="48"/>
      <c r="X547" s="48"/>
      <c r="Y547" s="48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W548" s="48"/>
      <c r="X548" s="48"/>
      <c r="Y548" s="48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W549" s="48"/>
      <c r="X549" s="48"/>
      <c r="Y549" s="48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W550" s="48"/>
      <c r="X550" s="48"/>
      <c r="Y550" s="48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W551" s="48"/>
      <c r="X551" s="48"/>
      <c r="Y551" s="48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W552" s="48"/>
      <c r="X552" s="48"/>
      <c r="Y552" s="48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W553" s="48"/>
      <c r="X553" s="48"/>
      <c r="Y553" s="48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W554" s="48"/>
      <c r="X554" s="48"/>
      <c r="Y554" s="48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W555" s="48"/>
      <c r="X555" s="48"/>
      <c r="Y555" s="48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W556" s="48"/>
      <c r="X556" s="48"/>
      <c r="Y556" s="48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W557" s="48"/>
      <c r="X557" s="48"/>
      <c r="Y557" s="48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W558" s="48"/>
      <c r="X558" s="48"/>
      <c r="Y558" s="48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W559" s="48"/>
      <c r="X559" s="48"/>
      <c r="Y559" s="48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W560" s="48"/>
      <c r="X560" s="48"/>
      <c r="Y560" s="48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W561" s="48"/>
      <c r="X561" s="48"/>
      <c r="Y561" s="48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W562" s="48"/>
      <c r="X562" s="48"/>
      <c r="Y562" s="48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W563" s="48"/>
      <c r="X563" s="48"/>
      <c r="Y563" s="48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W564" s="48"/>
      <c r="X564" s="48"/>
      <c r="Y564" s="48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W565" s="48"/>
      <c r="X565" s="48"/>
      <c r="Y565" s="48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W566" s="48"/>
      <c r="X566" s="48"/>
      <c r="Y566" s="48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W567" s="48"/>
      <c r="X567" s="48"/>
      <c r="Y567" s="48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W568" s="48"/>
      <c r="X568" s="48"/>
      <c r="Y568" s="48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W569" s="48"/>
      <c r="X569" s="48"/>
      <c r="Y569" s="48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W570" s="48"/>
      <c r="X570" s="48"/>
      <c r="Y570" s="48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W571" s="48"/>
      <c r="X571" s="48"/>
      <c r="Y571" s="48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W572" s="48"/>
      <c r="X572" s="48"/>
      <c r="Y572" s="48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W573" s="48"/>
      <c r="X573" s="48"/>
      <c r="Y573" s="48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W574" s="48"/>
      <c r="X574" s="48"/>
      <c r="Y574" s="48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W575" s="48"/>
      <c r="X575" s="48"/>
      <c r="Y575" s="48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W576" s="48"/>
      <c r="X576" s="48"/>
      <c r="Y576" s="48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W577" s="48"/>
      <c r="X577" s="48"/>
      <c r="Y577" s="48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W578" s="48"/>
      <c r="X578" s="48"/>
      <c r="Y578" s="48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W579" s="48"/>
      <c r="X579" s="48"/>
      <c r="Y579" s="48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W580" s="48"/>
      <c r="X580" s="48"/>
      <c r="Y580" s="48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W581" s="48"/>
      <c r="X581" s="48"/>
      <c r="Y581" s="48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W582" s="48"/>
      <c r="X582" s="48"/>
      <c r="Y582" s="48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W583" s="48"/>
      <c r="X583" s="48"/>
      <c r="Y583" s="48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W584" s="48"/>
      <c r="X584" s="48"/>
      <c r="Y584" s="48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W585" s="48"/>
      <c r="X585" s="48"/>
      <c r="Y585" s="48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W586" s="48"/>
      <c r="X586" s="48"/>
      <c r="Y586" s="48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W587" s="48"/>
      <c r="X587" s="48"/>
      <c r="Y587" s="48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W588" s="48"/>
      <c r="X588" s="48"/>
      <c r="Y588" s="48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W589" s="48"/>
      <c r="X589" s="48"/>
      <c r="Y589" s="48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W590" s="48"/>
      <c r="X590" s="48"/>
      <c r="Y590" s="48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W591" s="48"/>
      <c r="X591" s="48"/>
      <c r="Y591" s="48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W592" s="48"/>
      <c r="X592" s="48"/>
      <c r="Y592" s="48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W593" s="48"/>
      <c r="X593" s="48"/>
      <c r="Y593" s="48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W594" s="48"/>
      <c r="X594" s="48"/>
      <c r="Y594" s="48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W595" s="48"/>
      <c r="X595" s="48"/>
      <c r="Y595" s="48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W596" s="48"/>
      <c r="X596" s="48"/>
      <c r="Y596" s="48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W597" s="48"/>
      <c r="X597" s="48"/>
      <c r="Y597" s="48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W598" s="48"/>
      <c r="X598" s="48"/>
      <c r="Y598" s="48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W599" s="48"/>
      <c r="X599" s="48"/>
      <c r="Y599" s="48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W600" s="48"/>
      <c r="X600" s="48"/>
      <c r="Y600" s="48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W601" s="48"/>
      <c r="X601" s="48"/>
      <c r="Y601" s="48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W602" s="48"/>
      <c r="X602" s="48"/>
      <c r="Y602" s="48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W603" s="48"/>
      <c r="X603" s="48"/>
      <c r="Y603" s="48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W604" s="48"/>
      <c r="X604" s="48"/>
      <c r="Y604" s="48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W605" s="48"/>
      <c r="X605" s="48"/>
      <c r="Y605" s="48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W606" s="48"/>
      <c r="X606" s="48"/>
      <c r="Y606" s="48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W607" s="48"/>
      <c r="X607" s="48"/>
      <c r="Y607" s="48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W608" s="48"/>
      <c r="X608" s="48"/>
      <c r="Y608" s="48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W609" s="48"/>
      <c r="X609" s="48"/>
      <c r="Y609" s="48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W610" s="48"/>
      <c r="X610" s="48"/>
      <c r="Y610" s="48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W611" s="48"/>
      <c r="X611" s="48"/>
      <c r="Y611" s="48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W612" s="48"/>
      <c r="X612" s="48"/>
      <c r="Y612" s="48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W613" s="48"/>
      <c r="X613" s="48"/>
      <c r="Y613" s="48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W614" s="48"/>
      <c r="X614" s="48"/>
      <c r="Y614" s="48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W615" s="48"/>
      <c r="X615" s="48"/>
      <c r="Y615" s="48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W616" s="48"/>
      <c r="X616" s="48"/>
      <c r="Y616" s="48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W617" s="48"/>
      <c r="X617" s="48"/>
      <c r="Y617" s="48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W618" s="48"/>
      <c r="X618" s="48"/>
      <c r="Y618" s="48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W619" s="48"/>
      <c r="X619" s="48"/>
      <c r="Y619" s="48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W620" s="48"/>
      <c r="X620" s="48"/>
      <c r="Y620" s="48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W621" s="48"/>
      <c r="X621" s="48"/>
      <c r="Y621" s="48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W622" s="48"/>
      <c r="X622" s="48"/>
      <c r="Y622" s="48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W623" s="48"/>
      <c r="X623" s="48"/>
      <c r="Y623" s="48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W624" s="48"/>
      <c r="X624" s="48"/>
      <c r="Y624" s="48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W625" s="48"/>
      <c r="X625" s="48"/>
      <c r="Y625" s="48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W626" s="48"/>
      <c r="X626" s="48"/>
      <c r="Y626" s="48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W627" s="48"/>
      <c r="X627" s="48"/>
      <c r="Y627" s="48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W628" s="48"/>
      <c r="X628" s="48"/>
      <c r="Y628" s="48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W629" s="48"/>
      <c r="X629" s="48"/>
      <c r="Y629" s="48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W630" s="48"/>
      <c r="X630" s="48"/>
      <c r="Y630" s="48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W631" s="48"/>
      <c r="X631" s="48"/>
      <c r="Y631" s="48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W632" s="48"/>
      <c r="X632" s="48"/>
      <c r="Y632" s="48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W633" s="48"/>
      <c r="X633" s="48"/>
      <c r="Y633" s="48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W634" s="48"/>
      <c r="X634" s="48"/>
      <c r="Y634" s="48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W635" s="48"/>
      <c r="X635" s="48"/>
      <c r="Y635" s="48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W636" s="48"/>
      <c r="X636" s="48"/>
      <c r="Y636" s="48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W637" s="48"/>
      <c r="X637" s="48"/>
      <c r="Y637" s="48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W638" s="48"/>
      <c r="X638" s="48"/>
      <c r="Y638" s="48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W639" s="48"/>
      <c r="X639" s="48"/>
      <c r="Y639" s="48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W640" s="48"/>
      <c r="X640" s="48"/>
      <c r="Y640" s="48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W641" s="48"/>
      <c r="X641" s="48"/>
      <c r="Y641" s="48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W642" s="48"/>
      <c r="X642" s="48"/>
      <c r="Y642" s="48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W643" s="48"/>
      <c r="X643" s="48"/>
      <c r="Y643" s="48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W644" s="48"/>
      <c r="X644" s="48"/>
      <c r="Y644" s="48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W645" s="48"/>
      <c r="X645" s="48"/>
      <c r="Y645" s="48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W646" s="48"/>
      <c r="X646" s="48"/>
      <c r="Y646" s="48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W647" s="48"/>
      <c r="X647" s="48"/>
      <c r="Y647" s="48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W648" s="48"/>
      <c r="X648" s="48"/>
      <c r="Y648" s="48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W649" s="48"/>
      <c r="X649" s="48"/>
      <c r="Y649" s="48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W650" s="48"/>
      <c r="X650" s="48"/>
      <c r="Y650" s="48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W651" s="48"/>
      <c r="X651" s="48"/>
      <c r="Y651" s="48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W652" s="48"/>
      <c r="X652" s="48"/>
      <c r="Y652" s="48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W653" s="48"/>
      <c r="X653" s="48"/>
      <c r="Y653" s="48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W654" s="48"/>
      <c r="X654" s="48"/>
      <c r="Y654" s="48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W655" s="48"/>
      <c r="X655" s="48"/>
      <c r="Y655" s="48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W656" s="48"/>
      <c r="X656" s="48"/>
      <c r="Y656" s="48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W657" s="48"/>
      <c r="X657" s="48"/>
      <c r="Y657" s="48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W658" s="48"/>
      <c r="X658" s="48"/>
      <c r="Y658" s="48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W659" s="48"/>
      <c r="X659" s="48"/>
      <c r="Y659" s="48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W660" s="48"/>
      <c r="X660" s="48"/>
      <c r="Y660" s="48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W661" s="48"/>
      <c r="X661" s="48"/>
      <c r="Y661" s="48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W662" s="48"/>
      <c r="X662" s="48"/>
      <c r="Y662" s="48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W663" s="48"/>
      <c r="X663" s="48"/>
      <c r="Y663" s="48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W664" s="48"/>
      <c r="X664" s="48"/>
      <c r="Y664" s="48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W665" s="48"/>
      <c r="X665" s="48"/>
      <c r="Y665" s="48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W666" s="48"/>
      <c r="X666" s="48"/>
      <c r="Y666" s="48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W667" s="48"/>
      <c r="X667" s="48"/>
      <c r="Y667" s="48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W668" s="48"/>
      <c r="X668" s="48"/>
      <c r="Y668" s="48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W669" s="48"/>
      <c r="X669" s="48"/>
      <c r="Y669" s="48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W670" s="48"/>
      <c r="X670" s="48"/>
      <c r="Y670" s="48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W671" s="48"/>
      <c r="X671" s="48"/>
      <c r="Y671" s="48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W672" s="48"/>
      <c r="X672" s="48"/>
      <c r="Y672" s="48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W673" s="48"/>
      <c r="X673" s="48"/>
      <c r="Y673" s="48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W674" s="48"/>
      <c r="X674" s="48"/>
      <c r="Y674" s="48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W675" s="48"/>
      <c r="X675" s="48"/>
      <c r="Y675" s="48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W676" s="48"/>
      <c r="X676" s="48"/>
      <c r="Y676" s="48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W677" s="48"/>
      <c r="X677" s="48"/>
      <c r="Y677" s="48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W678" s="48"/>
      <c r="X678" s="48"/>
      <c r="Y678" s="48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W679" s="48"/>
      <c r="X679" s="48"/>
      <c r="Y679" s="48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W680" s="48"/>
      <c r="X680" s="48"/>
      <c r="Y680" s="48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W681" s="48"/>
      <c r="X681" s="48"/>
      <c r="Y681" s="48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W682" s="48"/>
      <c r="X682" s="48"/>
      <c r="Y682" s="48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W683" s="48"/>
      <c r="X683" s="48"/>
      <c r="Y683" s="48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W684" s="48"/>
      <c r="X684" s="48"/>
      <c r="Y684" s="48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W685" s="48"/>
      <c r="X685" s="48"/>
      <c r="Y685" s="48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W686" s="48"/>
      <c r="X686" s="48"/>
      <c r="Y686" s="48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W687" s="48"/>
      <c r="X687" s="48"/>
      <c r="Y687" s="48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W688" s="48"/>
      <c r="X688" s="48"/>
      <c r="Y688" s="48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W689" s="48"/>
      <c r="X689" s="48"/>
      <c r="Y689" s="48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W690" s="48"/>
      <c r="X690" s="48"/>
      <c r="Y690" s="48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W691" s="48"/>
      <c r="X691" s="48"/>
      <c r="Y691" s="48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W692" s="48"/>
      <c r="X692" s="48"/>
      <c r="Y692" s="48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W693" s="48"/>
      <c r="X693" s="48"/>
      <c r="Y693" s="48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W694" s="48"/>
      <c r="X694" s="48"/>
      <c r="Y694" s="48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W695" s="48"/>
      <c r="X695" s="48"/>
      <c r="Y695" s="48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W696" s="48"/>
      <c r="X696" s="48"/>
      <c r="Y696" s="48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W697" s="48"/>
      <c r="X697" s="48"/>
      <c r="Y697" s="48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W698" s="48"/>
      <c r="X698" s="48"/>
      <c r="Y698" s="48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W699" s="48"/>
      <c r="X699" s="48"/>
      <c r="Y699" s="48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W700" s="48"/>
      <c r="X700" s="48"/>
      <c r="Y700" s="48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W701" s="48"/>
      <c r="X701" s="48"/>
      <c r="Y701" s="48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W702" s="48"/>
      <c r="X702" s="48"/>
      <c r="Y702" s="48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W703" s="48"/>
      <c r="X703" s="48"/>
      <c r="Y703" s="48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W704" s="48"/>
      <c r="X704" s="48"/>
      <c r="Y704" s="48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W705" s="48"/>
      <c r="X705" s="48"/>
      <c r="Y705" s="48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W706" s="48"/>
      <c r="X706" s="48"/>
      <c r="Y706" s="48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W707" s="48"/>
      <c r="X707" s="48"/>
      <c r="Y707" s="48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W708" s="48"/>
      <c r="X708" s="48"/>
      <c r="Y708" s="48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W709" s="48"/>
      <c r="X709" s="48"/>
      <c r="Y709" s="48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W710" s="48"/>
      <c r="X710" s="48"/>
      <c r="Y710" s="48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W711" s="48"/>
      <c r="X711" s="48"/>
      <c r="Y711" s="48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W712" s="48"/>
      <c r="X712" s="48"/>
      <c r="Y712" s="48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W713" s="48"/>
      <c r="X713" s="48"/>
      <c r="Y713" s="48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W714" s="48"/>
      <c r="X714" s="48"/>
      <c r="Y714" s="48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W715" s="48"/>
      <c r="X715" s="48"/>
      <c r="Y715" s="48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W716" s="48"/>
      <c r="X716" s="48"/>
      <c r="Y716" s="48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W717" s="48"/>
      <c r="X717" s="48"/>
      <c r="Y717" s="48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W718" s="48"/>
      <c r="X718" s="48"/>
      <c r="Y718" s="48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W719" s="48"/>
      <c r="X719" s="48"/>
      <c r="Y719" s="48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W720" s="48"/>
      <c r="X720" s="48"/>
      <c r="Y720" s="48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W721" s="48"/>
      <c r="X721" s="48"/>
      <c r="Y721" s="48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W722" s="48"/>
      <c r="X722" s="48"/>
      <c r="Y722" s="48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W723" s="48"/>
      <c r="X723" s="48"/>
      <c r="Y723" s="48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W724" s="48"/>
      <c r="X724" s="48"/>
      <c r="Y724" s="48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W725" s="48"/>
      <c r="X725" s="48"/>
      <c r="Y725" s="48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W726" s="48"/>
      <c r="X726" s="48"/>
      <c r="Y726" s="48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W727" s="48"/>
      <c r="X727" s="48"/>
      <c r="Y727" s="48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W728" s="48"/>
      <c r="X728" s="48"/>
      <c r="Y728" s="48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W729" s="48"/>
      <c r="X729" s="48"/>
      <c r="Y729" s="48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W730" s="48"/>
      <c r="X730" s="48"/>
      <c r="Y730" s="48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W731" s="48"/>
      <c r="X731" s="48"/>
      <c r="Y731" s="48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W732" s="48"/>
      <c r="X732" s="48"/>
      <c r="Y732" s="48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W733" s="48"/>
      <c r="X733" s="48"/>
      <c r="Y733" s="48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W734" s="48"/>
      <c r="X734" s="48"/>
      <c r="Y734" s="48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W735" s="48"/>
      <c r="X735" s="48"/>
      <c r="Y735" s="48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W736" s="48"/>
      <c r="X736" s="48"/>
      <c r="Y736" s="48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W737" s="48"/>
      <c r="X737" s="48"/>
      <c r="Y737" s="48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W738" s="48"/>
      <c r="X738" s="48"/>
      <c r="Y738" s="48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W739" s="48"/>
      <c r="X739" s="48"/>
      <c r="Y739" s="48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W740" s="48"/>
      <c r="X740" s="48"/>
      <c r="Y740" s="48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W741" s="48"/>
      <c r="X741" s="48"/>
      <c r="Y741" s="48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W742" s="48"/>
      <c r="X742" s="48"/>
      <c r="Y742" s="48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W743" s="48"/>
      <c r="X743" s="48"/>
      <c r="Y743" s="48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W744" s="48"/>
      <c r="X744" s="48"/>
      <c r="Y744" s="48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W745" s="48"/>
      <c r="X745" s="48"/>
      <c r="Y745" s="48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W746" s="48"/>
      <c r="X746" s="48"/>
      <c r="Y746" s="48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W747" s="48"/>
      <c r="X747" s="48"/>
      <c r="Y747" s="48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W748" s="48"/>
      <c r="X748" s="48"/>
      <c r="Y748" s="48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W749" s="48"/>
      <c r="X749" s="48"/>
      <c r="Y749" s="48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W750" s="48"/>
      <c r="X750" s="48"/>
      <c r="Y750" s="48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W751" s="48"/>
      <c r="X751" s="48"/>
      <c r="Y751" s="48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W752" s="48"/>
      <c r="X752" s="48"/>
      <c r="Y752" s="48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W753" s="48"/>
      <c r="X753" s="48"/>
      <c r="Y753" s="48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W754" s="48"/>
      <c r="X754" s="48"/>
      <c r="Y754" s="48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W755" s="48"/>
      <c r="X755" s="48"/>
      <c r="Y755" s="48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W756" s="48"/>
      <c r="X756" s="48"/>
      <c r="Y756" s="48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W757" s="48"/>
      <c r="X757" s="48"/>
      <c r="Y757" s="48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W758" s="48"/>
      <c r="X758" s="48"/>
      <c r="Y758" s="48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W759" s="48"/>
      <c r="X759" s="48"/>
      <c r="Y759" s="48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W760" s="48"/>
      <c r="X760" s="48"/>
      <c r="Y760" s="48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W761" s="48"/>
      <c r="X761" s="48"/>
      <c r="Y761" s="48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W762" s="48"/>
      <c r="X762" s="48"/>
      <c r="Y762" s="48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W763" s="48"/>
      <c r="X763" s="48"/>
      <c r="Y763" s="48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W764" s="48"/>
      <c r="X764" s="48"/>
      <c r="Y764" s="48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W765" s="48"/>
      <c r="X765" s="48"/>
      <c r="Y765" s="48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W766" s="48"/>
      <c r="X766" s="48"/>
      <c r="Y766" s="48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W767" s="48"/>
      <c r="X767" s="48"/>
      <c r="Y767" s="48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W768" s="48"/>
      <c r="X768" s="48"/>
      <c r="Y768" s="48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W769" s="48"/>
      <c r="X769" s="48"/>
      <c r="Y769" s="48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W770" s="48"/>
      <c r="X770" s="48"/>
      <c r="Y770" s="48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W771" s="48"/>
      <c r="X771" s="48"/>
      <c r="Y771" s="48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W772" s="48"/>
      <c r="X772" s="48"/>
      <c r="Y772" s="48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W773" s="48"/>
      <c r="X773" s="48"/>
      <c r="Y773" s="48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W774" s="48"/>
      <c r="X774" s="48"/>
      <c r="Y774" s="48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W775" s="48"/>
      <c r="X775" s="48"/>
      <c r="Y775" s="48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W776" s="48"/>
      <c r="X776" s="48"/>
      <c r="Y776" s="48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W777" s="48"/>
      <c r="X777" s="48"/>
      <c r="Y777" s="48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W778" s="48"/>
      <c r="X778" s="48"/>
      <c r="Y778" s="48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W779" s="48"/>
      <c r="X779" s="48"/>
      <c r="Y779" s="48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W780" s="48"/>
      <c r="X780" s="48"/>
      <c r="Y780" s="48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W781" s="48"/>
      <c r="X781" s="48"/>
      <c r="Y781" s="48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W782" s="48"/>
      <c r="X782" s="48"/>
      <c r="Y782" s="48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W783" s="48"/>
      <c r="X783" s="48"/>
      <c r="Y783" s="48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W784" s="48"/>
      <c r="X784" s="48"/>
      <c r="Y784" s="48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W785" s="48"/>
      <c r="X785" s="48"/>
      <c r="Y785" s="48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W786" s="48"/>
      <c r="X786" s="48"/>
      <c r="Y786" s="48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W787" s="48"/>
      <c r="X787" s="48"/>
      <c r="Y787" s="48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W788" s="48"/>
      <c r="X788" s="48"/>
      <c r="Y788" s="48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W789" s="48"/>
      <c r="X789" s="48"/>
      <c r="Y789" s="48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W790" s="48"/>
      <c r="X790" s="48"/>
      <c r="Y790" s="48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W791" s="48"/>
      <c r="X791" s="48"/>
      <c r="Y791" s="48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W792" s="48"/>
      <c r="X792" s="48"/>
      <c r="Y792" s="48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W793" s="48"/>
      <c r="X793" s="48"/>
      <c r="Y793" s="48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W794" s="48"/>
      <c r="X794" s="48"/>
      <c r="Y794" s="48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W795" s="48"/>
      <c r="X795" s="48"/>
      <c r="Y795" s="48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W796" s="48"/>
      <c r="X796" s="48"/>
      <c r="Y796" s="48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W797" s="48"/>
      <c r="X797" s="48"/>
      <c r="Y797" s="48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W798" s="48"/>
      <c r="X798" s="48"/>
      <c r="Y798" s="48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W799" s="48"/>
      <c r="X799" s="48"/>
      <c r="Y799" s="48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W800" s="48"/>
      <c r="X800" s="48"/>
      <c r="Y800" s="48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W801" s="48"/>
      <c r="X801" s="48"/>
      <c r="Y801" s="48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W802" s="48"/>
      <c r="X802" s="48"/>
      <c r="Y802" s="48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W803" s="48"/>
      <c r="X803" s="48"/>
      <c r="Y803" s="48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W804" s="48"/>
      <c r="X804" s="48"/>
      <c r="Y804" s="48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W805" s="48"/>
      <c r="X805" s="48"/>
      <c r="Y805" s="48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W806" s="48"/>
      <c r="X806" s="48"/>
      <c r="Y806" s="48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W807" s="48"/>
      <c r="X807" s="48"/>
      <c r="Y807" s="48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W808" s="48"/>
      <c r="X808" s="48"/>
      <c r="Y808" s="48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W809" s="48"/>
      <c r="X809" s="48"/>
      <c r="Y809" s="48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W810" s="48"/>
      <c r="X810" s="48"/>
      <c r="Y810" s="48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W811" s="48"/>
      <c r="X811" s="48"/>
      <c r="Y811" s="48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W812" s="48"/>
      <c r="X812" s="48"/>
      <c r="Y812" s="48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W813" s="48"/>
      <c r="X813" s="48"/>
      <c r="Y813" s="48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W814" s="48"/>
      <c r="X814" s="48"/>
      <c r="Y814" s="48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W815" s="48"/>
      <c r="X815" s="48"/>
      <c r="Y815" s="48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W816" s="48"/>
      <c r="X816" s="48"/>
      <c r="Y816" s="48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W817" s="48"/>
      <c r="X817" s="48"/>
      <c r="Y817" s="48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W818" s="48"/>
      <c r="X818" s="48"/>
      <c r="Y818" s="48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W819" s="48"/>
      <c r="X819" s="48"/>
      <c r="Y819" s="48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W820" s="48"/>
      <c r="X820" s="48"/>
      <c r="Y820" s="48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W821" s="48"/>
      <c r="X821" s="48"/>
      <c r="Y821" s="48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W822" s="48"/>
      <c r="X822" s="48"/>
      <c r="Y822" s="48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W823" s="48"/>
      <c r="X823" s="48"/>
      <c r="Y823" s="48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W824" s="48"/>
      <c r="X824" s="48"/>
      <c r="Y824" s="48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W825" s="48"/>
      <c r="X825" s="48"/>
      <c r="Y825" s="48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W826" s="48"/>
      <c r="X826" s="48"/>
      <c r="Y826" s="48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W827" s="48"/>
      <c r="X827" s="48"/>
      <c r="Y827" s="48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W828" s="48"/>
      <c r="X828" s="48"/>
      <c r="Y828" s="48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W829" s="48"/>
      <c r="X829" s="48"/>
      <c r="Y829" s="48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W830" s="48"/>
      <c r="X830" s="48"/>
      <c r="Y830" s="48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W831" s="48"/>
      <c r="X831" s="48"/>
      <c r="Y831" s="48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W832" s="48"/>
      <c r="X832" s="48"/>
      <c r="Y832" s="48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W833" s="48"/>
      <c r="X833" s="48"/>
      <c r="Y833" s="48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W834" s="48"/>
      <c r="X834" s="48"/>
      <c r="Y834" s="48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W835" s="48"/>
      <c r="X835" s="48"/>
      <c r="Y835" s="48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W836" s="48"/>
      <c r="X836" s="48"/>
      <c r="Y836" s="48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W837" s="48"/>
      <c r="X837" s="48"/>
      <c r="Y837" s="48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W838" s="48"/>
      <c r="X838" s="48"/>
      <c r="Y838" s="48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W839" s="48"/>
      <c r="X839" s="48"/>
      <c r="Y839" s="48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W840" s="48"/>
      <c r="X840" s="48"/>
      <c r="Y840" s="48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W841" s="48"/>
      <c r="X841" s="48"/>
      <c r="Y841" s="48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W842" s="48"/>
      <c r="X842" s="48"/>
      <c r="Y842" s="48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W843" s="48"/>
      <c r="X843" s="48"/>
      <c r="Y843" s="48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W844" s="48"/>
      <c r="X844" s="48"/>
      <c r="Y844" s="48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W845" s="48"/>
      <c r="X845" s="48"/>
      <c r="Y845" s="48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W846" s="48"/>
      <c r="X846" s="48"/>
      <c r="Y846" s="48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W847" s="48"/>
      <c r="X847" s="48"/>
      <c r="Y847" s="48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W848" s="48"/>
      <c r="X848" s="48"/>
      <c r="Y848" s="48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W849" s="48"/>
      <c r="X849" s="48"/>
      <c r="Y849" s="48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W850" s="48"/>
      <c r="X850" s="48"/>
      <c r="Y850" s="48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W851" s="48"/>
      <c r="X851" s="48"/>
      <c r="Y851" s="48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W852" s="48"/>
      <c r="X852" s="48"/>
      <c r="Y852" s="48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W853" s="48"/>
      <c r="X853" s="48"/>
      <c r="Y853" s="48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W854" s="48"/>
      <c r="X854" s="48"/>
      <c r="Y854" s="48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W855" s="48"/>
      <c r="X855" s="48"/>
      <c r="Y855" s="48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W856" s="48"/>
      <c r="X856" s="48"/>
      <c r="Y856" s="48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W857" s="48"/>
      <c r="X857" s="48"/>
      <c r="Y857" s="48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W858" s="48"/>
      <c r="X858" s="48"/>
      <c r="Y858" s="48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W859" s="48"/>
      <c r="X859" s="48"/>
      <c r="Y859" s="48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W860" s="48"/>
      <c r="X860" s="48"/>
      <c r="Y860" s="48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W861" s="48"/>
      <c r="X861" s="48"/>
      <c r="Y861" s="48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W862" s="48"/>
      <c r="X862" s="48"/>
      <c r="Y862" s="48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W863" s="48"/>
      <c r="X863" s="48"/>
      <c r="Y863" s="48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W864" s="48"/>
      <c r="X864" s="48"/>
      <c r="Y864" s="48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W865" s="48"/>
      <c r="X865" s="48"/>
      <c r="Y865" s="48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W866" s="48"/>
      <c r="X866" s="48"/>
      <c r="Y866" s="48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W867" s="48"/>
      <c r="X867" s="48"/>
      <c r="Y867" s="48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W868" s="48"/>
      <c r="X868" s="48"/>
      <c r="Y868" s="48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W869" s="48"/>
      <c r="X869" s="48"/>
      <c r="Y869" s="48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W870" s="48"/>
      <c r="X870" s="48"/>
      <c r="Y870" s="48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W871" s="48"/>
      <c r="X871" s="48"/>
      <c r="Y871" s="48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W872" s="48"/>
      <c r="X872" s="48"/>
      <c r="Y872" s="48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W873" s="48"/>
      <c r="X873" s="48"/>
      <c r="Y873" s="48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W874" s="48"/>
      <c r="X874" s="48"/>
      <c r="Y874" s="48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W875" s="48"/>
      <c r="X875" s="48"/>
      <c r="Y875" s="48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W876" s="48"/>
      <c r="X876" s="48"/>
      <c r="Y876" s="48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W877" s="48"/>
      <c r="X877" s="48"/>
      <c r="Y877" s="48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W878" s="48"/>
      <c r="X878" s="48"/>
      <c r="Y878" s="48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W879" s="48"/>
      <c r="X879" s="48"/>
      <c r="Y879" s="48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W880" s="48"/>
      <c r="X880" s="48"/>
      <c r="Y880" s="48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W881" s="48"/>
      <c r="X881" s="48"/>
      <c r="Y881" s="48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W882" s="48"/>
      <c r="X882" s="48"/>
      <c r="Y882" s="48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W883" s="48"/>
      <c r="X883" s="48"/>
      <c r="Y883" s="48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W884" s="48"/>
      <c r="X884" s="48"/>
      <c r="Y884" s="48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W885" s="48"/>
      <c r="X885" s="48"/>
      <c r="Y885" s="48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W886" s="48"/>
      <c r="X886" s="48"/>
      <c r="Y886" s="48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W887" s="48"/>
      <c r="X887" s="48"/>
      <c r="Y887" s="48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W888" s="48"/>
      <c r="X888" s="48"/>
      <c r="Y888" s="48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W889" s="48"/>
      <c r="X889" s="48"/>
      <c r="Y889" s="48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W890" s="48"/>
      <c r="X890" s="48"/>
      <c r="Y890" s="48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W891" s="48"/>
      <c r="X891" s="48"/>
      <c r="Y891" s="48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W892" s="48"/>
      <c r="X892" s="48"/>
      <c r="Y892" s="48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W893" s="48"/>
      <c r="X893" s="48"/>
      <c r="Y893" s="48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W894" s="48"/>
      <c r="X894" s="48"/>
      <c r="Y894" s="48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W895" s="48"/>
      <c r="X895" s="48"/>
      <c r="Y895" s="48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W896" s="48"/>
      <c r="X896" s="48"/>
      <c r="Y896" s="48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W897" s="48"/>
      <c r="X897" s="48"/>
      <c r="Y897" s="48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W898" s="48"/>
      <c r="X898" s="48"/>
      <c r="Y898" s="48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W899" s="48"/>
      <c r="X899" s="48"/>
      <c r="Y899" s="48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W900" s="48"/>
      <c r="X900" s="48"/>
      <c r="Y900" s="48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W901" s="48"/>
      <c r="X901" s="48"/>
      <c r="Y901" s="48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W902" s="48"/>
      <c r="X902" s="48"/>
      <c r="Y902" s="48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W903" s="48"/>
      <c r="X903" s="48"/>
      <c r="Y903" s="48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W904" s="48"/>
      <c r="X904" s="48"/>
      <c r="Y904" s="48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W905" s="48"/>
      <c r="X905" s="48"/>
      <c r="Y905" s="48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W906" s="48"/>
      <c r="X906" s="48"/>
      <c r="Y906" s="48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W907" s="48"/>
      <c r="X907" s="48"/>
      <c r="Y907" s="48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W908" s="48"/>
      <c r="X908" s="48"/>
      <c r="Y908" s="48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W909" s="48"/>
      <c r="X909" s="48"/>
      <c r="Y909" s="48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W910" s="48"/>
      <c r="X910" s="48"/>
      <c r="Y910" s="48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W911" s="48"/>
      <c r="X911" s="48"/>
      <c r="Y911" s="48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W912" s="48"/>
      <c r="X912" s="48"/>
      <c r="Y912" s="48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W913" s="48"/>
      <c r="X913" s="48"/>
      <c r="Y913" s="48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W914" s="48"/>
      <c r="X914" s="48"/>
      <c r="Y914" s="48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W915" s="48"/>
      <c r="X915" s="48"/>
      <c r="Y915" s="48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W916" s="48"/>
      <c r="X916" s="48"/>
      <c r="Y916" s="48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W917" s="48"/>
      <c r="X917" s="48"/>
      <c r="Y917" s="48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W918" s="48"/>
      <c r="X918" s="48"/>
      <c r="Y918" s="48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W919" s="48"/>
      <c r="X919" s="48"/>
      <c r="Y919" s="48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W920" s="48"/>
      <c r="X920" s="48"/>
      <c r="Y920" s="48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W921" s="48"/>
      <c r="X921" s="48"/>
      <c r="Y921" s="48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W922" s="48"/>
      <c r="X922" s="48"/>
      <c r="Y922" s="48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W923" s="48"/>
      <c r="X923" s="48"/>
      <c r="Y923" s="48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W924" s="48"/>
      <c r="X924" s="48"/>
      <c r="Y924" s="48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W925" s="48"/>
      <c r="X925" s="48"/>
      <c r="Y925" s="48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W926" s="48"/>
      <c r="X926" s="48"/>
      <c r="Y926" s="48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W927" s="48"/>
      <c r="X927" s="48"/>
      <c r="Y927" s="48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W928" s="48"/>
      <c r="X928" s="48"/>
      <c r="Y928" s="48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W929" s="48"/>
      <c r="X929" s="48"/>
      <c r="Y929" s="48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W930" s="48"/>
      <c r="X930" s="48"/>
      <c r="Y930" s="48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W931" s="48"/>
      <c r="X931" s="48"/>
      <c r="Y931" s="48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W932" s="48"/>
      <c r="X932" s="48"/>
      <c r="Y932" s="48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W933" s="48"/>
      <c r="X933" s="48"/>
      <c r="Y933" s="48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W934" s="48"/>
      <c r="X934" s="48"/>
      <c r="Y934" s="48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W935" s="48"/>
      <c r="X935" s="48"/>
      <c r="Y935" s="48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W936" s="48"/>
      <c r="X936" s="48"/>
      <c r="Y936" s="48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W937" s="48"/>
      <c r="X937" s="48"/>
      <c r="Y937" s="48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W938" s="48"/>
      <c r="X938" s="48"/>
      <c r="Y938" s="48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W939" s="48"/>
      <c r="X939" s="48"/>
      <c r="Y939" s="48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W940" s="48"/>
      <c r="X940" s="48"/>
      <c r="Y940" s="48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W941" s="48"/>
      <c r="X941" s="48"/>
      <c r="Y941" s="48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W942" s="48"/>
      <c r="X942" s="48"/>
      <c r="Y942" s="48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W943" s="48"/>
      <c r="X943" s="48"/>
      <c r="Y943" s="48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W944" s="48"/>
      <c r="X944" s="48"/>
      <c r="Y944" s="48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W945" s="48"/>
      <c r="X945" s="48"/>
      <c r="Y945" s="48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W946" s="48"/>
      <c r="X946" s="48"/>
      <c r="Y946" s="48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W947" s="48"/>
      <c r="X947" s="48"/>
      <c r="Y947" s="48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W948" s="48"/>
      <c r="X948" s="48"/>
      <c r="Y948" s="48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W949" s="48"/>
      <c r="X949" s="48"/>
      <c r="Y949" s="48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W950" s="48"/>
      <c r="X950" s="48"/>
      <c r="Y950" s="48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W951" s="48"/>
      <c r="X951" s="48"/>
      <c r="Y951" s="48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W952" s="48"/>
      <c r="X952" s="48"/>
      <c r="Y952" s="48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W953" s="48"/>
      <c r="X953" s="48"/>
      <c r="Y953" s="48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W954" s="48"/>
      <c r="X954" s="48"/>
      <c r="Y954" s="48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W955" s="48"/>
      <c r="X955" s="48"/>
      <c r="Y955" s="48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W956" s="48"/>
      <c r="X956" s="48"/>
      <c r="Y956" s="48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W957" s="48"/>
      <c r="X957" s="48"/>
      <c r="Y957" s="48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W958" s="48"/>
      <c r="X958" s="48"/>
      <c r="Y958" s="48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W959" s="48"/>
      <c r="X959" s="48"/>
      <c r="Y959" s="48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W960" s="48"/>
      <c r="X960" s="48"/>
      <c r="Y960" s="48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W961" s="48"/>
      <c r="X961" s="48"/>
      <c r="Y961" s="48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W962" s="48"/>
      <c r="X962" s="48"/>
      <c r="Y962" s="48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W963" s="48"/>
      <c r="X963" s="48"/>
      <c r="Y963" s="48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W964" s="48"/>
      <c r="X964" s="48"/>
      <c r="Y964" s="48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W965" s="48"/>
      <c r="X965" s="48"/>
      <c r="Y965" s="48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W966" s="48"/>
      <c r="X966" s="48"/>
      <c r="Y966" s="48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W967" s="48"/>
      <c r="X967" s="48"/>
      <c r="Y967" s="48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W968" s="48"/>
      <c r="X968" s="48"/>
      <c r="Y968" s="48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W969" s="48"/>
      <c r="X969" s="48"/>
      <c r="Y969" s="48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W970" s="48"/>
      <c r="X970" s="48"/>
      <c r="Y970" s="48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W971" s="48"/>
      <c r="X971" s="48"/>
      <c r="Y971" s="48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W972" s="48"/>
      <c r="X972" s="48"/>
      <c r="Y972" s="48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W973" s="48"/>
      <c r="X973" s="48"/>
      <c r="Y973" s="48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W974" s="48"/>
      <c r="X974" s="48"/>
      <c r="Y974" s="48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W975" s="48"/>
      <c r="X975" s="48"/>
      <c r="Y975" s="48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W976" s="48"/>
      <c r="X976" s="48"/>
      <c r="Y976" s="48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W977" s="48"/>
      <c r="X977" s="48"/>
      <c r="Y977" s="48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W978" s="48"/>
      <c r="X978" s="48"/>
      <c r="Y978" s="48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W979" s="48"/>
      <c r="X979" s="48"/>
      <c r="Y979" s="48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W980" s="48"/>
      <c r="X980" s="48"/>
      <c r="Y980" s="48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W981" s="48"/>
      <c r="X981" s="48"/>
      <c r="Y981" s="48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W982" s="48"/>
      <c r="X982" s="48"/>
      <c r="Y982" s="48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W983" s="48"/>
      <c r="X983" s="48"/>
      <c r="Y983" s="48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W984" s="48"/>
      <c r="X984" s="48"/>
      <c r="Y984" s="48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W985" s="48"/>
      <c r="X985" s="48"/>
      <c r="Y985" s="48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W986" s="48"/>
      <c r="X986" s="48"/>
      <c r="Y986" s="48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W987" s="48"/>
      <c r="X987" s="48"/>
      <c r="Y987" s="48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W988" s="48"/>
      <c r="X988" s="48"/>
      <c r="Y988" s="48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W989" s="48"/>
      <c r="X989" s="48"/>
      <c r="Y989" s="48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W990" s="48"/>
      <c r="X990" s="48"/>
      <c r="Y990" s="48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W991" s="48"/>
      <c r="X991" s="48"/>
      <c r="Y991" s="48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W992" s="48"/>
      <c r="X992" s="48"/>
      <c r="Y992" s="48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W993" s="48"/>
      <c r="X993" s="48"/>
      <c r="Y993" s="48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W994" s="48"/>
      <c r="X994" s="48"/>
      <c r="Y994" s="48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W995" s="48"/>
      <c r="X995" s="48"/>
      <c r="Y995" s="48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W996" s="48"/>
      <c r="X996" s="48"/>
      <c r="Y996" s="48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W997" s="48"/>
      <c r="X997" s="48"/>
      <c r="Y997" s="48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W998" s="48"/>
      <c r="X998" s="48"/>
      <c r="Y998" s="48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W999" s="48"/>
      <c r="X999" s="48"/>
      <c r="Y999" s="48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W1000" s="48"/>
      <c r="X1000" s="48"/>
      <c r="Y1000" s="48"/>
    </row>
  </sheetData>
  <dataValidations>
    <dataValidation type="list" allowBlank="1" showErrorMessage="1" sqref="W2:W1000">
      <formula1>"Jala,No jala,Por validar"</formula1>
    </dataValidation>
    <dataValidation type="list" allowBlank="1" sqref="I2:I50">
      <formula1>"Pendiente,En proceso,Listo"</formula1>
    </dataValidation>
    <dataValidation type="list" allowBlank="1" showErrorMessage="1" sqref="Y2:Y1000">
      <formula1>"Activa,Limitada,No disponible,Por validar"</formula1>
    </dataValidation>
    <dataValidation type="list" allowBlank="1" showErrorMessage="1" sqref="X2:X1000">
      <formula1>"A,B,C"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2" width="22.0"/>
    <col customWidth="1" min="3" max="3" width="16.0"/>
    <col customWidth="1" min="4" max="4" width="40.0"/>
    <col customWidth="1" min="5" max="5" width="24.0"/>
    <col customWidth="1" min="6" max="6" width="26.0"/>
    <col customWidth="1" min="7" max="7" width="24.0"/>
    <col customWidth="1" min="8" max="8" width="22.0"/>
    <col customWidth="1" min="9" max="9" width="20.0"/>
    <col customWidth="1" min="10" max="10" width="14.0"/>
    <col customWidth="1" min="11" max="26" width="8.71"/>
  </cols>
  <sheetData>
    <row r="1" ht="25.5" customHeight="1">
      <c r="A1" s="25" t="s">
        <v>218</v>
      </c>
      <c r="B1" s="26" t="s">
        <v>219</v>
      </c>
      <c r="C1" s="27" t="s">
        <v>220</v>
      </c>
      <c r="D1" s="28" t="s">
        <v>221</v>
      </c>
      <c r="E1" s="29" t="s">
        <v>222</v>
      </c>
      <c r="F1" s="30" t="s">
        <v>223</v>
      </c>
      <c r="G1" s="1"/>
      <c r="H1" s="1"/>
      <c r="I1" s="1"/>
      <c r="J1" s="1"/>
    </row>
    <row r="2" ht="15.0" customHeight="1">
      <c r="A2" s="23" t="s">
        <v>227</v>
      </c>
      <c r="B2" s="23" t="s">
        <v>610</v>
      </c>
      <c r="C2" s="23" t="s">
        <v>611</v>
      </c>
      <c r="D2" s="23" t="s">
        <v>612</v>
      </c>
      <c r="E2" s="23" t="s">
        <v>613</v>
      </c>
      <c r="F2" s="23" t="s">
        <v>614</v>
      </c>
      <c r="G2" s="23" t="s">
        <v>615</v>
      </c>
      <c r="H2" s="23" t="s">
        <v>229</v>
      </c>
      <c r="I2" s="23" t="s">
        <v>616</v>
      </c>
      <c r="J2" s="23" t="s">
        <v>617</v>
      </c>
    </row>
    <row r="3" ht="23.25" customHeight="1">
      <c r="A3" s="37" t="s">
        <v>156</v>
      </c>
      <c r="B3" s="37" t="s">
        <v>243</v>
      </c>
      <c r="C3" s="37" t="s">
        <v>618</v>
      </c>
      <c r="D3" s="38" t="s">
        <v>619</v>
      </c>
      <c r="E3" s="37" t="s">
        <v>162</v>
      </c>
      <c r="F3" s="37"/>
      <c r="G3" s="37"/>
      <c r="H3" s="37"/>
      <c r="I3" s="37" t="s">
        <v>620</v>
      </c>
      <c r="J3" s="37" t="s">
        <v>621</v>
      </c>
    </row>
    <row r="4" ht="23.25" customHeight="1">
      <c r="A4" s="37" t="s">
        <v>185</v>
      </c>
      <c r="B4" s="37" t="s">
        <v>622</v>
      </c>
      <c r="C4" s="37" t="s">
        <v>618</v>
      </c>
      <c r="D4" s="38" t="s">
        <v>623</v>
      </c>
      <c r="E4" s="37" t="s">
        <v>94</v>
      </c>
      <c r="F4" s="37"/>
      <c r="G4" s="37"/>
      <c r="H4" s="37"/>
      <c r="I4" s="37" t="s">
        <v>620</v>
      </c>
      <c r="J4" s="37" t="s">
        <v>621</v>
      </c>
    </row>
    <row r="5" ht="23.25" customHeight="1">
      <c r="A5" s="37" t="s">
        <v>175</v>
      </c>
      <c r="B5" s="37" t="s">
        <v>624</v>
      </c>
      <c r="C5" s="37" t="s">
        <v>625</v>
      </c>
      <c r="D5" s="38" t="s">
        <v>626</v>
      </c>
      <c r="E5" s="37" t="s">
        <v>89</v>
      </c>
      <c r="F5" s="37"/>
      <c r="G5" s="37"/>
      <c r="H5" s="37"/>
      <c r="I5" s="37" t="s">
        <v>627</v>
      </c>
      <c r="J5" s="37" t="s">
        <v>621</v>
      </c>
    </row>
    <row r="6" ht="15.0" customHeight="1">
      <c r="A6" s="37" t="s">
        <v>175</v>
      </c>
      <c r="B6" s="37" t="s">
        <v>628</v>
      </c>
      <c r="C6" s="37" t="s">
        <v>621</v>
      </c>
      <c r="D6" s="38" t="s">
        <v>629</v>
      </c>
      <c r="E6" s="37" t="s">
        <v>162</v>
      </c>
      <c r="F6" s="37"/>
      <c r="G6" s="37"/>
      <c r="H6" s="37"/>
      <c r="I6" s="37" t="s">
        <v>627</v>
      </c>
      <c r="J6" s="37" t="s">
        <v>621</v>
      </c>
    </row>
    <row r="7" ht="15.0" customHeight="1">
      <c r="A7" s="37" t="s">
        <v>175</v>
      </c>
      <c r="B7" s="37" t="s">
        <v>630</v>
      </c>
      <c r="C7" s="37" t="s">
        <v>621</v>
      </c>
      <c r="D7" s="38" t="s">
        <v>631</v>
      </c>
      <c r="E7" s="37" t="s">
        <v>89</v>
      </c>
      <c r="F7" s="37"/>
      <c r="G7" s="37"/>
      <c r="H7" s="37"/>
      <c r="I7" s="37" t="s">
        <v>163</v>
      </c>
      <c r="J7" s="37" t="s">
        <v>621</v>
      </c>
    </row>
    <row r="8" ht="15.0" customHeight="1">
      <c r="A8" s="37" t="s">
        <v>204</v>
      </c>
      <c r="B8" s="37" t="s">
        <v>632</v>
      </c>
      <c r="C8" s="37" t="s">
        <v>618</v>
      </c>
      <c r="D8" s="38" t="s">
        <v>633</v>
      </c>
      <c r="E8" s="37" t="s">
        <v>215</v>
      </c>
      <c r="F8" s="37"/>
      <c r="G8" s="37"/>
      <c r="H8" s="37"/>
      <c r="I8" s="37" t="s">
        <v>620</v>
      </c>
      <c r="J8" s="37" t="s">
        <v>621</v>
      </c>
    </row>
    <row r="9" ht="15.0" customHeight="1">
      <c r="A9" s="37" t="s">
        <v>204</v>
      </c>
      <c r="B9" s="37" t="s">
        <v>634</v>
      </c>
      <c r="C9" s="37" t="s">
        <v>621</v>
      </c>
      <c r="D9" s="38" t="s">
        <v>635</v>
      </c>
      <c r="E9" s="37" t="s">
        <v>215</v>
      </c>
      <c r="F9" s="37"/>
      <c r="G9" s="37"/>
      <c r="H9" s="37"/>
      <c r="I9" s="37" t="s">
        <v>163</v>
      </c>
      <c r="J9" s="37" t="s">
        <v>621</v>
      </c>
    </row>
    <row r="10" ht="23.25" customHeight="1">
      <c r="A10" s="37" t="s">
        <v>204</v>
      </c>
      <c r="B10" s="37" t="s">
        <v>426</v>
      </c>
      <c r="C10" s="37" t="s">
        <v>618</v>
      </c>
      <c r="D10" s="38" t="s">
        <v>636</v>
      </c>
      <c r="E10" s="37" t="s">
        <v>215</v>
      </c>
      <c r="F10" s="37"/>
      <c r="G10" s="37"/>
      <c r="H10" s="37"/>
      <c r="I10" s="37" t="s">
        <v>637</v>
      </c>
      <c r="J10" s="37" t="s">
        <v>621</v>
      </c>
    </row>
    <row r="11" ht="23.25" customHeight="1">
      <c r="A11" s="37" t="s">
        <v>156</v>
      </c>
      <c r="B11" s="37" t="s">
        <v>638</v>
      </c>
      <c r="C11" s="37" t="s">
        <v>621</v>
      </c>
      <c r="D11" s="38" t="s">
        <v>639</v>
      </c>
      <c r="E11" s="37" t="s">
        <v>162</v>
      </c>
      <c r="F11" s="37"/>
      <c r="G11" s="37" t="s">
        <v>640</v>
      </c>
      <c r="H11" s="37" t="s">
        <v>641</v>
      </c>
      <c r="I11" s="37" t="s">
        <v>642</v>
      </c>
      <c r="J11" s="37" t="s">
        <v>621</v>
      </c>
    </row>
    <row r="12" ht="23.25" customHeight="1">
      <c r="A12" s="37" t="s">
        <v>156</v>
      </c>
      <c r="B12" s="37" t="s">
        <v>243</v>
      </c>
      <c r="C12" s="37" t="s">
        <v>618</v>
      </c>
      <c r="D12" s="38" t="s">
        <v>643</v>
      </c>
      <c r="E12" s="37" t="s">
        <v>162</v>
      </c>
      <c r="F12" s="37"/>
      <c r="G12" s="37" t="s">
        <v>644</v>
      </c>
      <c r="H12" s="37" t="s">
        <v>645</v>
      </c>
      <c r="I12" s="37" t="s">
        <v>646</v>
      </c>
      <c r="J12" s="37" t="s">
        <v>621</v>
      </c>
    </row>
    <row r="13" ht="15.0" customHeight="1">
      <c r="A13" s="37" t="s">
        <v>156</v>
      </c>
      <c r="B13" s="37" t="s">
        <v>647</v>
      </c>
      <c r="C13" s="37" t="s">
        <v>621</v>
      </c>
      <c r="D13" s="38" t="s">
        <v>648</v>
      </c>
      <c r="E13" s="37" t="s">
        <v>215</v>
      </c>
      <c r="F13" s="37"/>
      <c r="G13" s="37" t="s">
        <v>649</v>
      </c>
      <c r="H13" s="37" t="s">
        <v>650</v>
      </c>
      <c r="I13" s="37" t="s">
        <v>646</v>
      </c>
      <c r="J13" s="37" t="s">
        <v>621</v>
      </c>
    </row>
    <row r="14" ht="15.0" customHeight="1">
      <c r="A14" s="37" t="s">
        <v>156</v>
      </c>
      <c r="B14" s="37" t="s">
        <v>651</v>
      </c>
      <c r="C14" s="37" t="s">
        <v>621</v>
      </c>
      <c r="D14" s="38" t="s">
        <v>652</v>
      </c>
      <c r="E14" s="37" t="s">
        <v>162</v>
      </c>
      <c r="F14" s="37"/>
      <c r="G14" s="37" t="s">
        <v>653</v>
      </c>
      <c r="H14" s="37" t="s">
        <v>654</v>
      </c>
      <c r="I14" s="37" t="s">
        <v>646</v>
      </c>
      <c r="J14" s="37" t="s">
        <v>621</v>
      </c>
    </row>
    <row r="15" ht="34.5" customHeight="1">
      <c r="A15" s="37" t="s">
        <v>156</v>
      </c>
      <c r="B15" s="37" t="s">
        <v>655</v>
      </c>
      <c r="C15" s="37" t="s">
        <v>621</v>
      </c>
      <c r="D15" s="38" t="s">
        <v>656</v>
      </c>
      <c r="E15" s="37" t="s">
        <v>97</v>
      </c>
      <c r="F15" s="37"/>
      <c r="G15" s="37" t="s">
        <v>657</v>
      </c>
      <c r="H15" s="37" t="s">
        <v>658</v>
      </c>
      <c r="I15" s="37" t="s">
        <v>646</v>
      </c>
      <c r="J15" s="37" t="s">
        <v>621</v>
      </c>
    </row>
    <row r="16" ht="23.25" customHeight="1">
      <c r="A16" s="37" t="s">
        <v>156</v>
      </c>
      <c r="B16" s="37" t="s">
        <v>659</v>
      </c>
      <c r="C16" s="37" t="s">
        <v>621</v>
      </c>
      <c r="D16" s="38" t="s">
        <v>660</v>
      </c>
      <c r="E16" s="37" t="s">
        <v>162</v>
      </c>
      <c r="F16" s="37" t="s">
        <v>661</v>
      </c>
      <c r="G16" s="37" t="s">
        <v>662</v>
      </c>
      <c r="H16" s="37" t="s">
        <v>641</v>
      </c>
      <c r="I16" s="37" t="s">
        <v>663</v>
      </c>
      <c r="J16" s="37" t="s">
        <v>621</v>
      </c>
    </row>
    <row r="17" ht="23.25" customHeight="1">
      <c r="A17" s="37" t="s">
        <v>156</v>
      </c>
      <c r="B17" s="37" t="s">
        <v>664</v>
      </c>
      <c r="C17" s="37" t="s">
        <v>621</v>
      </c>
      <c r="D17" s="38" t="s">
        <v>665</v>
      </c>
      <c r="E17" s="37" t="s">
        <v>100</v>
      </c>
      <c r="F17" s="37"/>
      <c r="G17" s="37" t="s">
        <v>666</v>
      </c>
      <c r="H17" s="37" t="s">
        <v>658</v>
      </c>
      <c r="I17" s="37" t="s">
        <v>667</v>
      </c>
      <c r="J17" s="37" t="s">
        <v>621</v>
      </c>
    </row>
    <row r="18" ht="34.5" customHeight="1">
      <c r="A18" s="37" t="s">
        <v>156</v>
      </c>
      <c r="B18" s="37" t="s">
        <v>668</v>
      </c>
      <c r="C18" s="37" t="s">
        <v>621</v>
      </c>
      <c r="D18" s="38" t="s">
        <v>669</v>
      </c>
      <c r="E18" s="37" t="s">
        <v>215</v>
      </c>
      <c r="F18" s="37"/>
      <c r="G18" s="37" t="s">
        <v>670</v>
      </c>
      <c r="H18" s="37" t="s">
        <v>671</v>
      </c>
      <c r="I18" s="37" t="s">
        <v>667</v>
      </c>
      <c r="J18" s="37" t="s">
        <v>621</v>
      </c>
    </row>
    <row r="19" ht="23.25" customHeight="1">
      <c r="A19" s="37" t="s">
        <v>156</v>
      </c>
      <c r="B19" s="37" t="s">
        <v>672</v>
      </c>
      <c r="C19" s="37" t="s">
        <v>621</v>
      </c>
      <c r="D19" s="38" t="s">
        <v>673</v>
      </c>
      <c r="E19" s="37" t="s">
        <v>162</v>
      </c>
      <c r="F19" s="37" t="s">
        <v>674</v>
      </c>
      <c r="G19" s="37"/>
      <c r="H19" s="37"/>
      <c r="I19" s="37" t="s">
        <v>675</v>
      </c>
      <c r="J19" s="37" t="s">
        <v>621</v>
      </c>
    </row>
    <row r="20" ht="23.25" customHeight="1">
      <c r="A20" s="37" t="s">
        <v>156</v>
      </c>
      <c r="B20" s="37" t="s">
        <v>676</v>
      </c>
      <c r="C20" s="37" t="s">
        <v>621</v>
      </c>
      <c r="D20" s="38" t="s">
        <v>677</v>
      </c>
      <c r="E20" s="37" t="s">
        <v>97</v>
      </c>
      <c r="F20" s="37"/>
      <c r="G20" s="37"/>
      <c r="H20" s="37"/>
      <c r="I20" s="37" t="s">
        <v>678</v>
      </c>
      <c r="J20" s="37" t="s">
        <v>621</v>
      </c>
    </row>
    <row r="21" ht="23.25" customHeight="1">
      <c r="A21" s="37" t="s">
        <v>185</v>
      </c>
      <c r="B21" s="37" t="s">
        <v>679</v>
      </c>
      <c r="C21" s="37" t="s">
        <v>625</v>
      </c>
      <c r="D21" s="38" t="s">
        <v>680</v>
      </c>
      <c r="E21" s="37" t="s">
        <v>94</v>
      </c>
      <c r="F21" s="37"/>
      <c r="G21" s="37" t="s">
        <v>681</v>
      </c>
      <c r="H21" s="37" t="s">
        <v>682</v>
      </c>
      <c r="I21" s="37" t="s">
        <v>683</v>
      </c>
      <c r="J21" s="37" t="s">
        <v>621</v>
      </c>
    </row>
    <row r="22" ht="34.5" customHeight="1">
      <c r="A22" s="37" t="s">
        <v>185</v>
      </c>
      <c r="B22" s="37" t="s">
        <v>684</v>
      </c>
      <c r="C22" s="37" t="s">
        <v>621</v>
      </c>
      <c r="D22" s="38" t="s">
        <v>685</v>
      </c>
      <c r="E22" s="37" t="s">
        <v>94</v>
      </c>
      <c r="F22" s="37"/>
      <c r="G22" s="37" t="s">
        <v>686</v>
      </c>
      <c r="H22" s="37" t="s">
        <v>687</v>
      </c>
      <c r="I22" s="37" t="s">
        <v>688</v>
      </c>
      <c r="J22" s="37" t="s">
        <v>621</v>
      </c>
    </row>
    <row r="23" ht="23.25" customHeight="1">
      <c r="A23" s="37" t="s">
        <v>185</v>
      </c>
      <c r="B23" s="37" t="s">
        <v>689</v>
      </c>
      <c r="C23" s="37" t="s">
        <v>618</v>
      </c>
      <c r="D23" s="38" t="s">
        <v>690</v>
      </c>
      <c r="E23" s="37" t="s">
        <v>162</v>
      </c>
      <c r="F23" s="37"/>
      <c r="G23" s="37"/>
      <c r="H23" s="37"/>
      <c r="I23" s="37" t="s">
        <v>691</v>
      </c>
      <c r="J23" s="37" t="s">
        <v>621</v>
      </c>
    </row>
    <row r="24" ht="34.5" customHeight="1">
      <c r="A24" s="37" t="s">
        <v>166</v>
      </c>
      <c r="B24" s="37" t="s">
        <v>692</v>
      </c>
      <c r="C24" s="37" t="s">
        <v>621</v>
      </c>
      <c r="D24" s="38" t="s">
        <v>693</v>
      </c>
      <c r="E24" s="37" t="s">
        <v>215</v>
      </c>
      <c r="F24" s="37"/>
      <c r="G24" s="37"/>
      <c r="H24" s="37"/>
      <c r="I24" s="37" t="s">
        <v>691</v>
      </c>
      <c r="J24" s="37" t="s">
        <v>621</v>
      </c>
    </row>
    <row r="25" ht="23.25" customHeight="1">
      <c r="A25" s="37" t="s">
        <v>204</v>
      </c>
      <c r="B25" s="37" t="s">
        <v>694</v>
      </c>
      <c r="C25" s="37" t="s">
        <v>621</v>
      </c>
      <c r="D25" s="38" t="s">
        <v>695</v>
      </c>
      <c r="E25" s="37" t="s">
        <v>162</v>
      </c>
      <c r="F25" s="37"/>
      <c r="G25" s="37"/>
      <c r="H25" s="37"/>
      <c r="I25" s="37" t="s">
        <v>691</v>
      </c>
      <c r="J25" s="37" t="s">
        <v>621</v>
      </c>
    </row>
    <row r="26" ht="23.25" customHeight="1">
      <c r="A26" s="37" t="s">
        <v>204</v>
      </c>
      <c r="B26" s="37" t="s">
        <v>696</v>
      </c>
      <c r="C26" s="37" t="s">
        <v>621</v>
      </c>
      <c r="D26" s="38" t="s">
        <v>697</v>
      </c>
      <c r="E26" s="37" t="s">
        <v>97</v>
      </c>
      <c r="F26" s="37"/>
      <c r="G26" s="37"/>
      <c r="H26" s="37"/>
      <c r="I26" s="37" t="s">
        <v>691</v>
      </c>
      <c r="J26" s="37" t="s">
        <v>621</v>
      </c>
    </row>
    <row r="27" ht="34.5" customHeight="1">
      <c r="A27" s="37" t="s">
        <v>166</v>
      </c>
      <c r="B27" s="37" t="s">
        <v>698</v>
      </c>
      <c r="C27" s="37" t="s">
        <v>621</v>
      </c>
      <c r="D27" s="38" t="s">
        <v>699</v>
      </c>
      <c r="E27" s="37" t="s">
        <v>215</v>
      </c>
      <c r="F27" s="37" t="s">
        <v>700</v>
      </c>
      <c r="G27" s="37"/>
      <c r="H27" s="37"/>
      <c r="I27" s="37" t="s">
        <v>691</v>
      </c>
      <c r="J27" s="37" t="s">
        <v>621</v>
      </c>
    </row>
    <row r="28" ht="23.25" customHeight="1">
      <c r="A28" s="37" t="s">
        <v>166</v>
      </c>
      <c r="B28" s="37" t="s">
        <v>701</v>
      </c>
      <c r="C28" s="37" t="s">
        <v>621</v>
      </c>
      <c r="D28" s="38" t="s">
        <v>702</v>
      </c>
      <c r="E28" s="37" t="s">
        <v>86</v>
      </c>
      <c r="F28" s="37"/>
      <c r="G28" s="37"/>
      <c r="H28" s="37"/>
      <c r="I28" s="37" t="s">
        <v>703</v>
      </c>
      <c r="J28" s="37" t="s">
        <v>621</v>
      </c>
    </row>
    <row r="29" ht="23.25" customHeight="1">
      <c r="A29" s="37" t="s">
        <v>204</v>
      </c>
      <c r="B29" s="37" t="s">
        <v>704</v>
      </c>
      <c r="C29" s="37" t="s">
        <v>621</v>
      </c>
      <c r="D29" s="38" t="s">
        <v>705</v>
      </c>
      <c r="E29" s="37" t="s">
        <v>215</v>
      </c>
      <c r="F29" s="37"/>
      <c r="G29" s="37"/>
      <c r="H29" s="37"/>
      <c r="I29" s="37" t="s">
        <v>691</v>
      </c>
      <c r="J29" s="37" t="s">
        <v>621</v>
      </c>
    </row>
    <row r="30" ht="23.25" customHeight="1">
      <c r="A30" s="37" t="s">
        <v>166</v>
      </c>
      <c r="B30" s="37" t="s">
        <v>706</v>
      </c>
      <c r="C30" s="37" t="s">
        <v>621</v>
      </c>
      <c r="D30" s="38" t="s">
        <v>707</v>
      </c>
      <c r="E30" s="37" t="s">
        <v>162</v>
      </c>
      <c r="F30" s="37"/>
      <c r="G30" s="37"/>
      <c r="H30" s="37"/>
      <c r="I30" s="37" t="s">
        <v>708</v>
      </c>
      <c r="J30" s="37" t="s">
        <v>621</v>
      </c>
    </row>
    <row r="31" ht="23.25" customHeight="1">
      <c r="A31" s="37" t="s">
        <v>209</v>
      </c>
      <c r="B31" s="37" t="s">
        <v>709</v>
      </c>
      <c r="C31" s="37" t="s">
        <v>621</v>
      </c>
      <c r="D31" s="38" t="s">
        <v>710</v>
      </c>
      <c r="E31" s="37" t="s">
        <v>215</v>
      </c>
      <c r="F31" s="37"/>
      <c r="G31" s="37"/>
      <c r="H31" s="37"/>
      <c r="I31" s="37" t="s">
        <v>708</v>
      </c>
      <c r="J31" s="37" t="s">
        <v>621</v>
      </c>
    </row>
    <row r="32" ht="23.25" customHeight="1">
      <c r="A32" s="37" t="s">
        <v>206</v>
      </c>
      <c r="B32" s="37" t="s">
        <v>711</v>
      </c>
      <c r="C32" s="37" t="s">
        <v>621</v>
      </c>
      <c r="D32" s="38" t="s">
        <v>712</v>
      </c>
      <c r="E32" s="37" t="s">
        <v>215</v>
      </c>
      <c r="F32" s="37"/>
      <c r="G32" s="37"/>
      <c r="H32" s="37"/>
      <c r="I32" s="37" t="s">
        <v>708</v>
      </c>
      <c r="J32" s="37" t="s">
        <v>621</v>
      </c>
    </row>
    <row r="33" ht="23.25" customHeight="1">
      <c r="A33" s="37" t="s">
        <v>206</v>
      </c>
      <c r="B33" s="37" t="s">
        <v>713</v>
      </c>
      <c r="C33" s="37" t="s">
        <v>621</v>
      </c>
      <c r="D33" s="38" t="s">
        <v>714</v>
      </c>
      <c r="E33" s="37" t="s">
        <v>202</v>
      </c>
      <c r="F33" s="37"/>
      <c r="G33" s="37"/>
      <c r="H33" s="37"/>
      <c r="I33" s="37" t="s">
        <v>708</v>
      </c>
      <c r="J33" s="37" t="s">
        <v>621</v>
      </c>
    </row>
    <row r="34" ht="34.5" customHeight="1">
      <c r="A34" s="37" t="s">
        <v>156</v>
      </c>
      <c r="B34" s="37" t="s">
        <v>715</v>
      </c>
      <c r="C34" s="37" t="s">
        <v>621</v>
      </c>
      <c r="D34" s="38" t="s">
        <v>707</v>
      </c>
      <c r="E34" s="37" t="s">
        <v>162</v>
      </c>
      <c r="F34" s="37"/>
      <c r="G34" s="37"/>
      <c r="H34" s="37"/>
      <c r="I34" s="37" t="s">
        <v>708</v>
      </c>
      <c r="J34" s="37" t="s">
        <v>621</v>
      </c>
    </row>
    <row r="35" ht="23.25" customHeight="1">
      <c r="A35" s="37" t="s">
        <v>185</v>
      </c>
      <c r="B35" s="37" t="s">
        <v>716</v>
      </c>
      <c r="C35" s="37" t="s">
        <v>621</v>
      </c>
      <c r="D35" s="38" t="s">
        <v>717</v>
      </c>
      <c r="E35" s="37" t="s">
        <v>94</v>
      </c>
      <c r="F35" s="37"/>
      <c r="G35" s="37"/>
      <c r="H35" s="37"/>
      <c r="I35" s="37" t="s">
        <v>708</v>
      </c>
      <c r="J35" s="37" t="s">
        <v>621</v>
      </c>
    </row>
    <row r="36" ht="23.25" customHeight="1">
      <c r="A36" s="37" t="s">
        <v>185</v>
      </c>
      <c r="B36" s="37" t="s">
        <v>718</v>
      </c>
      <c r="C36" s="37" t="s">
        <v>621</v>
      </c>
      <c r="D36" s="38" t="s">
        <v>707</v>
      </c>
      <c r="E36" s="37" t="s">
        <v>215</v>
      </c>
      <c r="F36" s="37"/>
      <c r="G36" s="37"/>
      <c r="H36" s="37"/>
      <c r="I36" s="37" t="s">
        <v>708</v>
      </c>
      <c r="J36" s="37" t="s">
        <v>621</v>
      </c>
    </row>
    <row r="37" ht="34.5" customHeight="1">
      <c r="A37" s="37" t="s">
        <v>156</v>
      </c>
      <c r="B37" s="37" t="s">
        <v>719</v>
      </c>
      <c r="C37" s="37" t="s">
        <v>621</v>
      </c>
      <c r="D37" s="38" t="s">
        <v>707</v>
      </c>
      <c r="E37" s="37" t="s">
        <v>202</v>
      </c>
      <c r="F37" s="37"/>
      <c r="G37" s="37"/>
      <c r="H37" s="37"/>
      <c r="I37" s="37" t="s">
        <v>708</v>
      </c>
      <c r="J37" s="37" t="s">
        <v>621</v>
      </c>
    </row>
    <row r="38" ht="23.25" customHeight="1">
      <c r="A38" s="37" t="s">
        <v>156</v>
      </c>
      <c r="B38" s="37" t="s">
        <v>720</v>
      </c>
      <c r="C38" s="37" t="s">
        <v>621</v>
      </c>
      <c r="D38" s="38" t="s">
        <v>721</v>
      </c>
      <c r="E38" s="37" t="s">
        <v>51</v>
      </c>
      <c r="F38" s="37" t="s">
        <v>674</v>
      </c>
      <c r="G38" s="37"/>
      <c r="H38" s="37"/>
      <c r="I38" s="37" t="s">
        <v>722</v>
      </c>
      <c r="J38" s="37" t="s">
        <v>621</v>
      </c>
    </row>
    <row r="39" ht="34.5" customHeight="1">
      <c r="A39" s="37" t="s">
        <v>198</v>
      </c>
      <c r="B39" s="37" t="s">
        <v>723</v>
      </c>
      <c r="C39" s="37" t="s">
        <v>621</v>
      </c>
      <c r="D39" s="38" t="s">
        <v>724</v>
      </c>
      <c r="E39" s="37" t="s">
        <v>51</v>
      </c>
      <c r="F39" s="37"/>
      <c r="G39" s="37"/>
      <c r="H39" s="37"/>
      <c r="I39" s="37" t="s">
        <v>725</v>
      </c>
      <c r="J39" s="37" t="s">
        <v>621</v>
      </c>
    </row>
    <row r="40" ht="23.25" customHeight="1">
      <c r="A40" s="37" t="s">
        <v>198</v>
      </c>
      <c r="B40" s="37" t="s">
        <v>726</v>
      </c>
      <c r="C40" s="37" t="s">
        <v>621</v>
      </c>
      <c r="D40" s="38" t="s">
        <v>727</v>
      </c>
      <c r="E40" s="37" t="s">
        <v>162</v>
      </c>
      <c r="F40" s="37"/>
      <c r="G40" s="37"/>
      <c r="H40" s="37"/>
      <c r="I40" s="37" t="s">
        <v>728</v>
      </c>
      <c r="J40" s="37" t="s">
        <v>621</v>
      </c>
    </row>
    <row r="41" ht="23.25" customHeight="1">
      <c r="A41" s="37" t="s">
        <v>209</v>
      </c>
      <c r="B41" s="37" t="s">
        <v>729</v>
      </c>
      <c r="C41" s="37" t="s">
        <v>621</v>
      </c>
      <c r="D41" s="38" t="s">
        <v>730</v>
      </c>
      <c r="E41" s="37" t="s">
        <v>51</v>
      </c>
      <c r="F41" s="37"/>
      <c r="G41" s="37"/>
      <c r="H41" s="37"/>
      <c r="I41" s="37" t="s">
        <v>731</v>
      </c>
      <c r="J41" s="37" t="s">
        <v>621</v>
      </c>
    </row>
    <row r="42" ht="23.25" customHeight="1">
      <c r="A42" s="37" t="s">
        <v>209</v>
      </c>
      <c r="B42" s="37" t="s">
        <v>732</v>
      </c>
      <c r="C42" s="37" t="s">
        <v>621</v>
      </c>
      <c r="D42" s="38" t="s">
        <v>733</v>
      </c>
      <c r="E42" s="37" t="s">
        <v>51</v>
      </c>
      <c r="F42" s="37"/>
      <c r="G42" s="37"/>
      <c r="H42" s="37"/>
      <c r="I42" s="37" t="s">
        <v>734</v>
      </c>
      <c r="J42" s="37" t="s">
        <v>621</v>
      </c>
    </row>
    <row r="43" ht="34.5" customHeight="1">
      <c r="A43" s="37" t="s">
        <v>198</v>
      </c>
      <c r="B43" s="37" t="s">
        <v>735</v>
      </c>
      <c r="C43" s="37" t="s">
        <v>621</v>
      </c>
      <c r="D43" s="38" t="s">
        <v>736</v>
      </c>
      <c r="E43" s="37" t="s">
        <v>162</v>
      </c>
      <c r="F43" s="37"/>
      <c r="G43" s="37"/>
      <c r="H43" s="37"/>
      <c r="I43" s="37" t="s">
        <v>737</v>
      </c>
      <c r="J43" s="37" t="s">
        <v>621</v>
      </c>
    </row>
    <row r="44" ht="34.5" customHeight="1">
      <c r="A44" s="37" t="s">
        <v>198</v>
      </c>
      <c r="B44" s="37" t="s">
        <v>738</v>
      </c>
      <c r="C44" s="37" t="s">
        <v>621</v>
      </c>
      <c r="D44" s="38" t="s">
        <v>739</v>
      </c>
      <c r="E44" s="37" t="s">
        <v>89</v>
      </c>
      <c r="F44" s="37"/>
      <c r="G44" s="37"/>
      <c r="H44" s="37"/>
      <c r="I44" s="37" t="s">
        <v>740</v>
      </c>
      <c r="J44" s="37" t="s">
        <v>621</v>
      </c>
    </row>
    <row r="45" ht="34.5" customHeight="1">
      <c r="A45" s="37" t="s">
        <v>209</v>
      </c>
      <c r="B45" s="37" t="s">
        <v>741</v>
      </c>
      <c r="C45" s="37" t="s">
        <v>621</v>
      </c>
      <c r="D45" s="38" t="s">
        <v>742</v>
      </c>
      <c r="E45" s="37" t="s">
        <v>215</v>
      </c>
      <c r="F45" s="37"/>
      <c r="G45" s="37"/>
      <c r="H45" s="37"/>
      <c r="I45" s="37" t="s">
        <v>743</v>
      </c>
      <c r="J45" s="37" t="s">
        <v>621</v>
      </c>
    </row>
    <row r="46" ht="23.25" customHeight="1">
      <c r="A46" s="37" t="s">
        <v>200</v>
      </c>
      <c r="B46" s="37" t="s">
        <v>744</v>
      </c>
      <c r="C46" s="37" t="s">
        <v>621</v>
      </c>
      <c r="D46" s="38" t="s">
        <v>745</v>
      </c>
      <c r="E46" s="37" t="s">
        <v>162</v>
      </c>
      <c r="F46" s="37"/>
      <c r="G46" s="37"/>
      <c r="H46" s="37"/>
      <c r="I46" s="37" t="s">
        <v>746</v>
      </c>
      <c r="J46" s="37" t="s">
        <v>621</v>
      </c>
    </row>
    <row r="47" ht="23.25" customHeight="1">
      <c r="A47" s="37" t="s">
        <v>166</v>
      </c>
      <c r="B47" s="37" t="s">
        <v>747</v>
      </c>
      <c r="C47" s="37" t="s">
        <v>621</v>
      </c>
      <c r="D47" s="38" t="s">
        <v>748</v>
      </c>
      <c r="E47" s="37" t="s">
        <v>162</v>
      </c>
      <c r="F47" s="37"/>
      <c r="G47" s="37"/>
      <c r="H47" s="37"/>
      <c r="I47" s="37" t="s">
        <v>746</v>
      </c>
      <c r="J47" s="37" t="s">
        <v>621</v>
      </c>
    </row>
    <row r="48" ht="34.5" customHeight="1">
      <c r="A48" s="37" t="s">
        <v>185</v>
      </c>
      <c r="B48" s="37" t="s">
        <v>749</v>
      </c>
      <c r="C48" s="37" t="s">
        <v>621</v>
      </c>
      <c r="D48" s="38" t="s">
        <v>750</v>
      </c>
      <c r="E48" s="37" t="s">
        <v>162</v>
      </c>
      <c r="F48" s="37"/>
      <c r="G48" s="37"/>
      <c r="H48" s="37"/>
      <c r="I48" s="37" t="s">
        <v>743</v>
      </c>
      <c r="J48" s="37" t="s">
        <v>621</v>
      </c>
    </row>
    <row r="49" ht="34.5" customHeight="1">
      <c r="A49" s="37" t="s">
        <v>204</v>
      </c>
      <c r="B49" s="37" t="s">
        <v>751</v>
      </c>
      <c r="C49" s="37" t="s">
        <v>621</v>
      </c>
      <c r="D49" s="38" t="s">
        <v>752</v>
      </c>
      <c r="E49" s="37" t="s">
        <v>97</v>
      </c>
      <c r="F49" s="37"/>
      <c r="G49" s="37"/>
      <c r="H49" s="37"/>
      <c r="I49" s="37" t="s">
        <v>753</v>
      </c>
      <c r="J49" s="37" t="s">
        <v>621</v>
      </c>
    </row>
    <row r="50" ht="23.25" customHeight="1">
      <c r="A50" s="37" t="s">
        <v>209</v>
      </c>
      <c r="B50" s="37" t="s">
        <v>754</v>
      </c>
      <c r="C50" s="37" t="s">
        <v>621</v>
      </c>
      <c r="D50" s="38" t="s">
        <v>755</v>
      </c>
      <c r="E50" s="37" t="s">
        <v>212</v>
      </c>
      <c r="F50" s="37"/>
      <c r="G50" s="37"/>
      <c r="H50" s="37"/>
      <c r="I50" s="37" t="s">
        <v>756</v>
      </c>
      <c r="J50" s="37" t="s">
        <v>621</v>
      </c>
    </row>
    <row r="51" ht="34.5" customHeight="1">
      <c r="A51" s="37" t="s">
        <v>185</v>
      </c>
      <c r="B51" s="37" t="s">
        <v>757</v>
      </c>
      <c r="C51" s="37" t="s">
        <v>621</v>
      </c>
      <c r="D51" s="38" t="s">
        <v>758</v>
      </c>
      <c r="E51" s="37" t="s">
        <v>89</v>
      </c>
      <c r="F51" s="37"/>
      <c r="G51" s="37"/>
      <c r="H51" s="37"/>
      <c r="I51" s="37" t="s">
        <v>756</v>
      </c>
      <c r="J51" s="37" t="s">
        <v>621</v>
      </c>
    </row>
    <row r="52" ht="34.5" customHeight="1">
      <c r="A52" s="37" t="s">
        <v>175</v>
      </c>
      <c r="B52" s="37" t="s">
        <v>759</v>
      </c>
      <c r="C52" s="37" t="s">
        <v>625</v>
      </c>
      <c r="D52" s="38" t="s">
        <v>760</v>
      </c>
      <c r="E52" s="37" t="s">
        <v>89</v>
      </c>
      <c r="F52" s="37"/>
      <c r="G52" s="37"/>
      <c r="H52" s="37"/>
      <c r="I52" s="37" t="s">
        <v>756</v>
      </c>
      <c r="J52" s="37" t="s">
        <v>621</v>
      </c>
    </row>
    <row r="53" ht="23.25" customHeight="1">
      <c r="A53" s="37" t="s">
        <v>206</v>
      </c>
      <c r="B53" s="37" t="s">
        <v>761</v>
      </c>
      <c r="C53" s="37" t="s">
        <v>625</v>
      </c>
      <c r="D53" s="38" t="s">
        <v>762</v>
      </c>
      <c r="E53" s="37" t="s">
        <v>215</v>
      </c>
      <c r="F53" s="37"/>
      <c r="G53" s="37" t="s">
        <v>763</v>
      </c>
      <c r="H53" s="37" t="s">
        <v>764</v>
      </c>
      <c r="I53" s="37" t="s">
        <v>765</v>
      </c>
      <c r="J53" s="37" t="s">
        <v>621</v>
      </c>
    </row>
    <row r="54" ht="23.25" customHeight="1">
      <c r="A54" s="37" t="s">
        <v>156</v>
      </c>
      <c r="B54" s="37" t="s">
        <v>766</v>
      </c>
      <c r="C54" s="37" t="s">
        <v>625</v>
      </c>
      <c r="D54" s="38" t="s">
        <v>767</v>
      </c>
      <c r="E54" s="37" t="s">
        <v>215</v>
      </c>
      <c r="F54" s="37"/>
      <c r="G54" s="37"/>
      <c r="H54" s="37"/>
      <c r="I54" s="37" t="s">
        <v>768</v>
      </c>
      <c r="J54" s="37" t="s">
        <v>621</v>
      </c>
    </row>
    <row r="55" ht="23.25" customHeight="1">
      <c r="A55" s="37" t="s">
        <v>198</v>
      </c>
      <c r="B55" s="37" t="s">
        <v>769</v>
      </c>
      <c r="C55" s="37" t="s">
        <v>621</v>
      </c>
      <c r="D55" s="38" t="s">
        <v>770</v>
      </c>
      <c r="E55" s="37" t="s">
        <v>212</v>
      </c>
      <c r="F55" s="37"/>
      <c r="G55" s="37"/>
      <c r="H55" s="37"/>
      <c r="I55" s="37" t="s">
        <v>768</v>
      </c>
      <c r="J55" s="37" t="s">
        <v>621</v>
      </c>
    </row>
    <row r="56" ht="23.25" customHeight="1">
      <c r="A56" s="37" t="s">
        <v>200</v>
      </c>
      <c r="B56" s="37" t="s">
        <v>771</v>
      </c>
      <c r="C56" s="37" t="s">
        <v>621</v>
      </c>
      <c r="D56" s="38" t="s">
        <v>772</v>
      </c>
      <c r="E56" s="37" t="s">
        <v>100</v>
      </c>
      <c r="F56" s="37"/>
      <c r="G56" s="37"/>
      <c r="H56" s="37"/>
      <c r="I56" s="37" t="s">
        <v>768</v>
      </c>
      <c r="J56" s="37" t="s">
        <v>621</v>
      </c>
    </row>
    <row r="57" ht="34.5" customHeight="1">
      <c r="A57" s="37" t="s">
        <v>185</v>
      </c>
      <c r="B57" s="37" t="s">
        <v>773</v>
      </c>
      <c r="C57" s="37" t="s">
        <v>621</v>
      </c>
      <c r="D57" s="38" t="s">
        <v>774</v>
      </c>
      <c r="E57" s="37" t="s">
        <v>215</v>
      </c>
      <c r="F57" s="37"/>
      <c r="G57" s="37" t="s">
        <v>775</v>
      </c>
      <c r="H57" s="37" t="s">
        <v>776</v>
      </c>
      <c r="I57" s="37" t="s">
        <v>768</v>
      </c>
      <c r="J57" s="37" t="s">
        <v>621</v>
      </c>
    </row>
    <row r="58" ht="23.25" customHeight="1">
      <c r="A58" s="37" t="s">
        <v>166</v>
      </c>
      <c r="B58" s="37" t="s">
        <v>777</v>
      </c>
      <c r="C58" s="37" t="s">
        <v>621</v>
      </c>
      <c r="D58" s="38" t="s">
        <v>778</v>
      </c>
      <c r="E58" s="37" t="s">
        <v>86</v>
      </c>
      <c r="F58" s="37"/>
      <c r="G58" s="37" t="s">
        <v>779</v>
      </c>
      <c r="H58" s="37" t="s">
        <v>780</v>
      </c>
      <c r="I58" s="37" t="s">
        <v>781</v>
      </c>
      <c r="J58" s="37" t="s">
        <v>621</v>
      </c>
    </row>
    <row r="59" ht="34.5" customHeight="1">
      <c r="A59" s="37" t="s">
        <v>166</v>
      </c>
      <c r="B59" s="37" t="s">
        <v>782</v>
      </c>
      <c r="C59" s="37" t="s">
        <v>621</v>
      </c>
      <c r="D59" s="38" t="s">
        <v>783</v>
      </c>
      <c r="E59" s="37" t="s">
        <v>202</v>
      </c>
      <c r="F59" s="37"/>
      <c r="G59" s="37" t="s">
        <v>784</v>
      </c>
      <c r="H59" s="37" t="s">
        <v>785</v>
      </c>
      <c r="I59" s="37" t="s">
        <v>786</v>
      </c>
      <c r="J59" s="37" t="s">
        <v>621</v>
      </c>
    </row>
    <row r="60" ht="34.5" customHeight="1">
      <c r="A60" s="37" t="s">
        <v>204</v>
      </c>
      <c r="B60" s="37" t="s">
        <v>787</v>
      </c>
      <c r="C60" s="37" t="s">
        <v>625</v>
      </c>
      <c r="D60" s="38" t="s">
        <v>788</v>
      </c>
      <c r="E60" s="37" t="s">
        <v>215</v>
      </c>
      <c r="F60" s="37"/>
      <c r="G60" s="37" t="s">
        <v>789</v>
      </c>
      <c r="H60" s="37"/>
      <c r="I60" s="37" t="s">
        <v>620</v>
      </c>
      <c r="J60" s="37" t="s">
        <v>621</v>
      </c>
    </row>
    <row r="61" ht="23.25" customHeight="1">
      <c r="A61" s="37" t="s">
        <v>204</v>
      </c>
      <c r="B61" s="37" t="s">
        <v>790</v>
      </c>
      <c r="C61" s="37" t="s">
        <v>625</v>
      </c>
      <c r="D61" s="38" t="s">
        <v>791</v>
      </c>
      <c r="E61" s="37" t="s">
        <v>215</v>
      </c>
      <c r="F61" s="37"/>
      <c r="G61" s="37" t="s">
        <v>789</v>
      </c>
      <c r="H61" s="37"/>
      <c r="I61" s="37" t="s">
        <v>620</v>
      </c>
      <c r="J61" s="37" t="s">
        <v>621</v>
      </c>
    </row>
    <row r="62" ht="34.5" customHeight="1">
      <c r="A62" s="37" t="s">
        <v>204</v>
      </c>
      <c r="B62" s="37" t="s">
        <v>792</v>
      </c>
      <c r="C62" s="37" t="s">
        <v>625</v>
      </c>
      <c r="D62" s="38" t="s">
        <v>793</v>
      </c>
      <c r="E62" s="37" t="s">
        <v>51</v>
      </c>
      <c r="F62" s="37"/>
      <c r="G62" s="37"/>
      <c r="H62" s="37"/>
      <c r="I62" s="37" t="s">
        <v>620</v>
      </c>
      <c r="J62" s="37" t="s">
        <v>621</v>
      </c>
    </row>
    <row r="63" ht="23.25" customHeight="1">
      <c r="A63" s="37" t="s">
        <v>204</v>
      </c>
      <c r="B63" s="37" t="s">
        <v>794</v>
      </c>
      <c r="C63" s="37" t="s">
        <v>621</v>
      </c>
      <c r="D63" s="38" t="s">
        <v>795</v>
      </c>
      <c r="E63" s="37" t="s">
        <v>97</v>
      </c>
      <c r="F63" s="37"/>
      <c r="G63" s="37"/>
      <c r="H63" s="37"/>
      <c r="I63" s="37" t="s">
        <v>765</v>
      </c>
      <c r="J63" s="37" t="s">
        <v>621</v>
      </c>
    </row>
    <row r="64" ht="23.25" customHeight="1">
      <c r="A64" s="37" t="s">
        <v>204</v>
      </c>
      <c r="B64" s="37" t="s">
        <v>487</v>
      </c>
      <c r="C64" s="37" t="s">
        <v>621</v>
      </c>
      <c r="D64" s="38" t="s">
        <v>796</v>
      </c>
      <c r="E64" s="37" t="s">
        <v>162</v>
      </c>
      <c r="F64" s="37"/>
      <c r="G64" s="37"/>
      <c r="H64" s="37"/>
      <c r="I64" s="37" t="s">
        <v>743</v>
      </c>
      <c r="J64" s="37" t="s">
        <v>621</v>
      </c>
    </row>
    <row r="65" ht="23.25" customHeight="1">
      <c r="A65" s="37" t="s">
        <v>204</v>
      </c>
      <c r="B65" s="37" t="s">
        <v>797</v>
      </c>
      <c r="C65" s="37" t="s">
        <v>618</v>
      </c>
      <c r="D65" s="38" t="s">
        <v>798</v>
      </c>
      <c r="E65" s="37" t="s">
        <v>215</v>
      </c>
      <c r="F65" s="37"/>
      <c r="G65" s="37"/>
      <c r="H65" s="37"/>
      <c r="I65" s="37" t="s">
        <v>637</v>
      </c>
      <c r="J65" s="37" t="s">
        <v>621</v>
      </c>
    </row>
    <row r="66" ht="23.25" customHeight="1">
      <c r="A66" s="37" t="s">
        <v>156</v>
      </c>
      <c r="B66" s="37" t="s">
        <v>799</v>
      </c>
      <c r="C66" s="37" t="s">
        <v>621</v>
      </c>
      <c r="D66" s="38" t="s">
        <v>800</v>
      </c>
      <c r="E66" s="37" t="s">
        <v>94</v>
      </c>
      <c r="F66" s="37"/>
      <c r="G66" s="37"/>
      <c r="H66" s="37"/>
      <c r="I66" s="37" t="s">
        <v>801</v>
      </c>
      <c r="J66" s="37" t="s">
        <v>621</v>
      </c>
    </row>
    <row r="67" ht="23.25" customHeight="1">
      <c r="A67" s="37" t="s">
        <v>156</v>
      </c>
      <c r="B67" s="37" t="s">
        <v>802</v>
      </c>
      <c r="C67" s="37" t="s">
        <v>621</v>
      </c>
      <c r="D67" s="38" t="s">
        <v>803</v>
      </c>
      <c r="E67" s="37" t="s">
        <v>181</v>
      </c>
      <c r="F67" s="37"/>
      <c r="G67" s="37"/>
      <c r="H67" s="37"/>
      <c r="I67" s="37" t="s">
        <v>804</v>
      </c>
      <c r="J67" s="37" t="s">
        <v>621</v>
      </c>
    </row>
    <row r="68" ht="23.25" customHeight="1">
      <c r="A68" s="37" t="s">
        <v>193</v>
      </c>
      <c r="B68" s="37" t="s">
        <v>805</v>
      </c>
      <c r="C68" s="37" t="s">
        <v>621</v>
      </c>
      <c r="D68" s="38" t="s">
        <v>806</v>
      </c>
      <c r="E68" s="37" t="s">
        <v>94</v>
      </c>
      <c r="F68" s="37"/>
      <c r="G68" s="37"/>
      <c r="H68" s="37"/>
      <c r="I68" s="37" t="s">
        <v>807</v>
      </c>
      <c r="J68" s="37" t="s">
        <v>621</v>
      </c>
    </row>
    <row r="69" ht="23.25" customHeight="1">
      <c r="A69" s="37" t="s">
        <v>193</v>
      </c>
      <c r="B69" s="37" t="s">
        <v>808</v>
      </c>
      <c r="C69" s="37" t="s">
        <v>621</v>
      </c>
      <c r="D69" s="38" t="s">
        <v>809</v>
      </c>
      <c r="E69" s="37" t="s">
        <v>94</v>
      </c>
      <c r="F69" s="37"/>
      <c r="G69" s="37"/>
      <c r="H69" s="37"/>
      <c r="I69" s="37" t="s">
        <v>810</v>
      </c>
      <c r="J69" s="37" t="s">
        <v>621</v>
      </c>
    </row>
    <row r="70" ht="23.25" customHeight="1">
      <c r="A70" s="37" t="s">
        <v>185</v>
      </c>
      <c r="B70" s="37" t="s">
        <v>811</v>
      </c>
      <c r="C70" s="37" t="s">
        <v>621</v>
      </c>
      <c r="D70" s="38" t="s">
        <v>812</v>
      </c>
      <c r="E70" s="37" t="s">
        <v>94</v>
      </c>
      <c r="F70" s="37" t="s">
        <v>813</v>
      </c>
      <c r="G70" s="37"/>
      <c r="H70" s="37"/>
      <c r="I70" s="37" t="s">
        <v>814</v>
      </c>
      <c r="J70" s="37" t="s">
        <v>621</v>
      </c>
    </row>
    <row r="71" ht="34.5" customHeight="1">
      <c r="A71" s="37" t="s">
        <v>185</v>
      </c>
      <c r="B71" s="37" t="s">
        <v>815</v>
      </c>
      <c r="C71" s="37" t="s">
        <v>621</v>
      </c>
      <c r="D71" s="38" t="s">
        <v>816</v>
      </c>
      <c r="E71" s="37" t="s">
        <v>94</v>
      </c>
      <c r="F71" s="37"/>
      <c r="G71" s="37"/>
      <c r="H71" s="37"/>
      <c r="I71" s="37" t="s">
        <v>329</v>
      </c>
      <c r="J71" s="37" t="s">
        <v>621</v>
      </c>
    </row>
    <row r="72" ht="34.5" customHeight="1">
      <c r="A72" s="37" t="s">
        <v>209</v>
      </c>
      <c r="B72" s="37" t="s">
        <v>817</v>
      </c>
      <c r="C72" s="37" t="s">
        <v>621</v>
      </c>
      <c r="D72" s="38" t="s">
        <v>818</v>
      </c>
      <c r="E72" s="37" t="s">
        <v>89</v>
      </c>
      <c r="F72" s="37"/>
      <c r="G72" s="37"/>
      <c r="H72" s="37"/>
      <c r="I72" s="37" t="s">
        <v>819</v>
      </c>
      <c r="J72" s="37" t="s">
        <v>621</v>
      </c>
    </row>
    <row r="73" ht="23.25" customHeight="1">
      <c r="A73" s="37" t="s">
        <v>175</v>
      </c>
      <c r="B73" s="37" t="s">
        <v>820</v>
      </c>
      <c r="C73" s="37" t="s">
        <v>625</v>
      </c>
      <c r="D73" s="38" t="s">
        <v>821</v>
      </c>
      <c r="E73" s="37" t="s">
        <v>162</v>
      </c>
      <c r="F73" s="37"/>
      <c r="G73" s="37" t="s">
        <v>822</v>
      </c>
      <c r="H73" s="37" t="s">
        <v>823</v>
      </c>
      <c r="I73" s="37" t="s">
        <v>824</v>
      </c>
      <c r="J73" s="37" t="s">
        <v>825</v>
      </c>
    </row>
    <row r="74" ht="23.25" customHeight="1">
      <c r="A74" s="37" t="s">
        <v>175</v>
      </c>
      <c r="B74" s="37" t="s">
        <v>826</v>
      </c>
      <c r="C74" s="37" t="s">
        <v>625</v>
      </c>
      <c r="D74" s="38" t="s">
        <v>827</v>
      </c>
      <c r="E74" s="37" t="s">
        <v>162</v>
      </c>
      <c r="F74" s="37"/>
      <c r="G74" s="37" t="s">
        <v>828</v>
      </c>
      <c r="H74" s="37" t="s">
        <v>823</v>
      </c>
      <c r="I74" s="37" t="s">
        <v>829</v>
      </c>
      <c r="J74" s="37" t="s">
        <v>825</v>
      </c>
    </row>
    <row r="75" ht="23.25" customHeight="1">
      <c r="A75" s="37" t="s">
        <v>175</v>
      </c>
      <c r="B75" s="37" t="s">
        <v>830</v>
      </c>
      <c r="C75" s="37" t="s">
        <v>625</v>
      </c>
      <c r="D75" s="38" t="s">
        <v>831</v>
      </c>
      <c r="E75" s="37" t="s">
        <v>162</v>
      </c>
      <c r="F75" s="37"/>
      <c r="G75" s="37" t="s">
        <v>832</v>
      </c>
      <c r="H75" s="37" t="s">
        <v>823</v>
      </c>
      <c r="I75" s="37" t="s">
        <v>829</v>
      </c>
      <c r="J75" s="37" t="s">
        <v>825</v>
      </c>
    </row>
    <row r="76" ht="23.25" customHeight="1">
      <c r="A76" s="37" t="s">
        <v>175</v>
      </c>
      <c r="B76" s="37" t="s">
        <v>833</v>
      </c>
      <c r="C76" s="37" t="s">
        <v>625</v>
      </c>
      <c r="D76" s="38" t="s">
        <v>834</v>
      </c>
      <c r="E76" s="37" t="s">
        <v>212</v>
      </c>
      <c r="F76" s="37"/>
      <c r="G76" s="37" t="s">
        <v>835</v>
      </c>
      <c r="H76" s="37" t="s">
        <v>823</v>
      </c>
      <c r="I76" s="37" t="s">
        <v>829</v>
      </c>
      <c r="J76" s="37" t="s">
        <v>825</v>
      </c>
    </row>
    <row r="77" ht="23.25" customHeight="1">
      <c r="A77" s="37" t="s">
        <v>175</v>
      </c>
      <c r="B77" s="37" t="s">
        <v>836</v>
      </c>
      <c r="C77" s="37" t="s">
        <v>618</v>
      </c>
      <c r="D77" s="38" t="s">
        <v>837</v>
      </c>
      <c r="E77" s="37" t="s">
        <v>89</v>
      </c>
      <c r="F77" s="37"/>
      <c r="G77" s="37" t="s">
        <v>838</v>
      </c>
      <c r="H77" s="37" t="s">
        <v>823</v>
      </c>
      <c r="I77" s="37" t="s">
        <v>829</v>
      </c>
      <c r="J77" s="37" t="s">
        <v>825</v>
      </c>
    </row>
    <row r="78" ht="23.25" customHeight="1">
      <c r="A78" s="37" t="s">
        <v>175</v>
      </c>
      <c r="B78" s="37" t="s">
        <v>839</v>
      </c>
      <c r="C78" s="37" t="s">
        <v>618</v>
      </c>
      <c r="D78" s="38" t="s">
        <v>840</v>
      </c>
      <c r="E78" s="37" t="s">
        <v>89</v>
      </c>
      <c r="F78" s="37"/>
      <c r="G78" s="37"/>
      <c r="H78" s="37"/>
      <c r="I78" s="37" t="s">
        <v>829</v>
      </c>
      <c r="J78" s="37" t="s">
        <v>825</v>
      </c>
    </row>
    <row r="79" ht="34.5" customHeight="1">
      <c r="A79" s="37" t="s">
        <v>185</v>
      </c>
      <c r="B79" s="37" t="s">
        <v>841</v>
      </c>
      <c r="C79" s="37" t="s">
        <v>618</v>
      </c>
      <c r="D79" s="38" t="s">
        <v>842</v>
      </c>
      <c r="E79" s="37" t="s">
        <v>162</v>
      </c>
      <c r="F79" s="37"/>
      <c r="G79" s="37" t="s">
        <v>843</v>
      </c>
      <c r="H79" s="37" t="s">
        <v>823</v>
      </c>
      <c r="I79" s="37" t="s">
        <v>829</v>
      </c>
      <c r="J79" s="37" t="s">
        <v>825</v>
      </c>
    </row>
    <row r="80" ht="23.25" customHeight="1">
      <c r="A80" s="37" t="s">
        <v>198</v>
      </c>
      <c r="B80" s="37" t="s">
        <v>844</v>
      </c>
      <c r="C80" s="37" t="s">
        <v>625</v>
      </c>
      <c r="D80" s="38" t="s">
        <v>845</v>
      </c>
      <c r="E80" s="37" t="s">
        <v>162</v>
      </c>
      <c r="F80" s="37"/>
      <c r="G80" s="37" t="s">
        <v>846</v>
      </c>
      <c r="H80" s="37" t="s">
        <v>823</v>
      </c>
      <c r="I80" s="37" t="s">
        <v>829</v>
      </c>
      <c r="J80" s="37" t="s">
        <v>825</v>
      </c>
    </row>
    <row r="81" ht="34.5" customHeight="1">
      <c r="A81" s="37" t="s">
        <v>156</v>
      </c>
      <c r="B81" s="37" t="s">
        <v>847</v>
      </c>
      <c r="C81" s="37" t="s">
        <v>625</v>
      </c>
      <c r="D81" s="38" t="s">
        <v>848</v>
      </c>
      <c r="E81" s="37" t="s">
        <v>215</v>
      </c>
      <c r="F81" s="37"/>
      <c r="G81" s="37" t="s">
        <v>849</v>
      </c>
      <c r="H81" s="37" t="s">
        <v>823</v>
      </c>
      <c r="I81" s="37" t="s">
        <v>829</v>
      </c>
      <c r="J81" s="37" t="s">
        <v>825</v>
      </c>
    </row>
    <row r="82" ht="23.25" customHeight="1">
      <c r="A82" s="37" t="s">
        <v>156</v>
      </c>
      <c r="B82" s="37" t="s">
        <v>850</v>
      </c>
      <c r="C82" s="37" t="s">
        <v>618</v>
      </c>
      <c r="D82" s="38" t="s">
        <v>851</v>
      </c>
      <c r="E82" s="37" t="s">
        <v>215</v>
      </c>
      <c r="F82" s="37" t="s">
        <v>852</v>
      </c>
      <c r="G82" s="37" t="s">
        <v>853</v>
      </c>
      <c r="H82" s="37" t="s">
        <v>854</v>
      </c>
      <c r="I82" s="37" t="s">
        <v>829</v>
      </c>
      <c r="J82" s="37" t="s">
        <v>825</v>
      </c>
    </row>
    <row r="83" ht="23.25" customHeight="1">
      <c r="A83" s="37" t="s">
        <v>200</v>
      </c>
      <c r="B83" s="37" t="s">
        <v>855</v>
      </c>
      <c r="C83" s="37" t="s">
        <v>618</v>
      </c>
      <c r="D83" s="38" t="s">
        <v>856</v>
      </c>
      <c r="E83" s="37" t="s">
        <v>212</v>
      </c>
      <c r="F83" s="37" t="s">
        <v>857</v>
      </c>
      <c r="G83" s="37" t="s">
        <v>858</v>
      </c>
      <c r="H83" s="37" t="s">
        <v>859</v>
      </c>
      <c r="I83" s="37" t="s">
        <v>829</v>
      </c>
      <c r="J83" s="37" t="s">
        <v>825</v>
      </c>
    </row>
    <row r="84" ht="23.25" customHeight="1">
      <c r="A84" s="37" t="s">
        <v>166</v>
      </c>
      <c r="B84" s="37" t="s">
        <v>860</v>
      </c>
      <c r="C84" s="37" t="s">
        <v>618</v>
      </c>
      <c r="D84" s="38" t="s">
        <v>861</v>
      </c>
      <c r="E84" s="37" t="s">
        <v>215</v>
      </c>
      <c r="F84" s="37" t="s">
        <v>862</v>
      </c>
      <c r="G84" s="37"/>
      <c r="H84" s="37"/>
      <c r="I84" s="37" t="s">
        <v>829</v>
      </c>
      <c r="J84" s="37" t="s">
        <v>825</v>
      </c>
    </row>
    <row r="85" ht="15.0" customHeight="1">
      <c r="A85" s="37" t="s">
        <v>166</v>
      </c>
      <c r="B85" s="37" t="s">
        <v>863</v>
      </c>
      <c r="C85" s="37" t="s">
        <v>618</v>
      </c>
      <c r="D85" s="38" t="s">
        <v>864</v>
      </c>
      <c r="E85" s="37" t="s">
        <v>215</v>
      </c>
      <c r="F85" s="37" t="s">
        <v>865</v>
      </c>
      <c r="G85" s="37" t="s">
        <v>866</v>
      </c>
      <c r="H85" s="37" t="s">
        <v>859</v>
      </c>
      <c r="I85" s="37" t="s">
        <v>829</v>
      </c>
      <c r="J85" s="37" t="s">
        <v>825</v>
      </c>
    </row>
    <row r="86" ht="23.25" customHeight="1">
      <c r="A86" s="37" t="s">
        <v>206</v>
      </c>
      <c r="B86" s="37" t="s">
        <v>867</v>
      </c>
      <c r="C86" s="37" t="s">
        <v>618</v>
      </c>
      <c r="D86" s="38" t="s">
        <v>868</v>
      </c>
      <c r="E86" s="37" t="s">
        <v>215</v>
      </c>
      <c r="F86" s="37"/>
      <c r="G86" s="37"/>
      <c r="H86" s="37"/>
      <c r="I86" s="37" t="s">
        <v>829</v>
      </c>
      <c r="J86" s="37" t="s">
        <v>825</v>
      </c>
    </row>
    <row r="87" ht="23.25" customHeight="1">
      <c r="A87" s="37" t="s">
        <v>206</v>
      </c>
      <c r="B87" s="37" t="s">
        <v>869</v>
      </c>
      <c r="C87" s="37" t="s">
        <v>625</v>
      </c>
      <c r="D87" s="38" t="s">
        <v>870</v>
      </c>
      <c r="E87" s="37" t="s">
        <v>94</v>
      </c>
      <c r="F87" s="37"/>
      <c r="G87" s="37"/>
      <c r="H87" s="37"/>
      <c r="I87" s="37" t="s">
        <v>829</v>
      </c>
      <c r="J87" s="37" t="s">
        <v>825</v>
      </c>
    </row>
    <row r="88" ht="15.0" customHeight="1">
      <c r="A88" s="37" t="s">
        <v>204</v>
      </c>
      <c r="B88" s="37" t="s">
        <v>871</v>
      </c>
      <c r="C88" s="37" t="s">
        <v>625</v>
      </c>
      <c r="D88" s="38" t="s">
        <v>872</v>
      </c>
      <c r="E88" s="37" t="s">
        <v>215</v>
      </c>
      <c r="F88" s="37"/>
      <c r="G88" s="37"/>
      <c r="H88" s="37"/>
      <c r="I88" s="37" t="s">
        <v>829</v>
      </c>
      <c r="J88" s="37" t="s">
        <v>825</v>
      </c>
    </row>
    <row r="89" ht="15.0" customHeight="1">
      <c r="A89" s="37" t="s">
        <v>204</v>
      </c>
      <c r="B89" s="37" t="s">
        <v>873</v>
      </c>
      <c r="C89" s="37" t="s">
        <v>618</v>
      </c>
      <c r="D89" s="38" t="s">
        <v>868</v>
      </c>
      <c r="E89" s="37" t="s">
        <v>215</v>
      </c>
      <c r="F89" s="37"/>
      <c r="G89" s="37"/>
      <c r="H89" s="37"/>
      <c r="I89" s="37" t="s">
        <v>829</v>
      </c>
      <c r="J89" s="37" t="s">
        <v>825</v>
      </c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autoFilter ref="$A$1:$J$400"/>
  <conditionalFormatting sqref="A3:J1000">
    <cfRule type="expression" dxfId="0" priority="1">
      <formula>$C3="Sí - activa"</formula>
    </cfRule>
  </conditionalFormatting>
  <conditionalFormatting sqref="A3:J1000">
    <cfRule type="expression" dxfId="2" priority="2">
      <formula>$C3="Sí - pasada"</formula>
    </cfRule>
  </conditionalFormatting>
  <conditionalFormatting sqref="A3:J1000">
    <cfRule type="expression" dxfId="4" priority="3">
      <formula>$C3="No"</formula>
    </cfRule>
  </conditionalFormatting>
  <dataValidations>
    <dataValidation type="list" allowBlank="1" sqref="C3:C401">
      <formula1>"Sí - activa,Sí - pasada,No"</formula1>
    </dataValidation>
    <dataValidation type="list" allowBlank="1" sqref="J3:J401">
      <formula1>"Sí,No"</formula1>
    </dataValidation>
    <dataValidation type="list" allowBlank="1" sqref="A3:A401">
      <formula1>CATALOGOS!$A$2:$A$12</formula1>
    </dataValidation>
    <dataValidation type="list" allowBlank="1" sqref="E3:E401">
      <formula1>CATALOGOS!$G$2:$G$16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24.0"/>
    <col customWidth="1" min="3" max="3" width="34.0"/>
    <col customWidth="1" min="4" max="4" width="14.0"/>
    <col customWidth="1" min="5" max="6" width="22.0"/>
    <col customWidth="1" min="7" max="8" width="26.0"/>
    <col customWidth="1" min="9" max="9" width="16.0"/>
    <col customWidth="1" min="10" max="10" width="30.0"/>
    <col customWidth="1" min="11" max="11" width="14.0"/>
    <col customWidth="1" min="12" max="26" width="8.71"/>
  </cols>
  <sheetData>
    <row r="1" ht="25.5" customHeight="1">
      <c r="A1" s="25" t="s">
        <v>218</v>
      </c>
      <c r="B1" s="26" t="s">
        <v>219</v>
      </c>
      <c r="C1" s="27" t="s">
        <v>220</v>
      </c>
      <c r="D1" s="28" t="s">
        <v>221</v>
      </c>
      <c r="E1" s="29" t="s">
        <v>222</v>
      </c>
      <c r="F1" s="30" t="s">
        <v>223</v>
      </c>
      <c r="G1" s="1"/>
      <c r="H1" s="1"/>
      <c r="I1" s="1"/>
      <c r="J1" s="1"/>
      <c r="K1" s="1"/>
    </row>
    <row r="2" ht="23.25" customHeight="1">
      <c r="A2" s="23" t="s">
        <v>874</v>
      </c>
      <c r="B2" s="23" t="s">
        <v>226</v>
      </c>
      <c r="C2" s="23" t="s">
        <v>875</v>
      </c>
      <c r="D2" s="23" t="s">
        <v>233</v>
      </c>
      <c r="E2" s="23" t="s">
        <v>876</v>
      </c>
      <c r="F2" s="23" t="s">
        <v>229</v>
      </c>
      <c r="G2" s="23" t="s">
        <v>230</v>
      </c>
      <c r="H2" s="23" t="s">
        <v>232</v>
      </c>
      <c r="I2" s="23" t="s">
        <v>611</v>
      </c>
      <c r="J2" s="23" t="s">
        <v>242</v>
      </c>
      <c r="K2" s="23" t="s">
        <v>617</v>
      </c>
    </row>
    <row r="3" ht="23.25" customHeight="1">
      <c r="A3" s="37" t="s">
        <v>674</v>
      </c>
      <c r="B3" s="37" t="s">
        <v>167</v>
      </c>
      <c r="C3" s="38" t="s">
        <v>877</v>
      </c>
      <c r="D3" s="37" t="s">
        <v>246</v>
      </c>
      <c r="E3" s="37"/>
      <c r="F3" s="37"/>
      <c r="G3" s="37"/>
      <c r="H3" s="37"/>
      <c r="I3" s="37" t="s">
        <v>621</v>
      </c>
      <c r="J3" s="38" t="s">
        <v>878</v>
      </c>
      <c r="K3" s="37" t="s">
        <v>621</v>
      </c>
    </row>
    <row r="4" ht="23.25" customHeight="1">
      <c r="A4" s="37" t="s">
        <v>879</v>
      </c>
      <c r="B4" s="37" t="s">
        <v>186</v>
      </c>
      <c r="C4" s="38" t="s">
        <v>880</v>
      </c>
      <c r="D4" s="37" t="s">
        <v>881</v>
      </c>
      <c r="E4" s="37"/>
      <c r="F4" s="37"/>
      <c r="G4" s="37"/>
      <c r="H4" s="37"/>
      <c r="I4" s="37" t="s">
        <v>621</v>
      </c>
      <c r="J4" s="38" t="s">
        <v>882</v>
      </c>
      <c r="K4" s="37" t="s">
        <v>621</v>
      </c>
    </row>
    <row r="5" ht="23.25" customHeight="1">
      <c r="A5" s="37" t="s">
        <v>883</v>
      </c>
      <c r="B5" s="37" t="s">
        <v>186</v>
      </c>
      <c r="C5" s="38" t="s">
        <v>884</v>
      </c>
      <c r="D5" s="37" t="s">
        <v>246</v>
      </c>
      <c r="E5" s="37"/>
      <c r="F5" s="37"/>
      <c r="G5" s="37"/>
      <c r="H5" s="37"/>
      <c r="I5" s="37" t="s">
        <v>621</v>
      </c>
      <c r="J5" s="38" t="s">
        <v>885</v>
      </c>
      <c r="K5" s="37" t="s">
        <v>621</v>
      </c>
    </row>
    <row r="6" ht="23.25" customHeight="1">
      <c r="A6" s="37" t="s">
        <v>886</v>
      </c>
      <c r="B6" s="37" t="s">
        <v>186</v>
      </c>
      <c r="C6" s="38" t="s">
        <v>887</v>
      </c>
      <c r="D6" s="37" t="s">
        <v>246</v>
      </c>
      <c r="E6" s="37"/>
      <c r="F6" s="37"/>
      <c r="G6" s="37"/>
      <c r="H6" s="37"/>
      <c r="I6" s="37" t="s">
        <v>621</v>
      </c>
      <c r="J6" s="38" t="s">
        <v>888</v>
      </c>
      <c r="K6" s="37" t="s">
        <v>621</v>
      </c>
    </row>
    <row r="7" ht="23.25" customHeight="1">
      <c r="A7" s="37" t="s">
        <v>889</v>
      </c>
      <c r="B7" s="37" t="s">
        <v>186</v>
      </c>
      <c r="C7" s="38" t="s">
        <v>890</v>
      </c>
      <c r="D7" s="37" t="s">
        <v>891</v>
      </c>
      <c r="E7" s="37"/>
      <c r="F7" s="37"/>
      <c r="G7" s="37"/>
      <c r="H7" s="37"/>
      <c r="I7" s="37" t="s">
        <v>621</v>
      </c>
      <c r="J7" s="38" t="s">
        <v>892</v>
      </c>
      <c r="K7" s="37" t="s">
        <v>621</v>
      </c>
    </row>
    <row r="8" ht="34.5" customHeight="1">
      <c r="A8" s="37" t="s">
        <v>813</v>
      </c>
      <c r="B8" s="37" t="s">
        <v>186</v>
      </c>
      <c r="C8" s="38" t="s">
        <v>893</v>
      </c>
      <c r="D8" s="37" t="s">
        <v>246</v>
      </c>
      <c r="E8" s="37"/>
      <c r="F8" s="37"/>
      <c r="G8" s="37"/>
      <c r="H8" s="37"/>
      <c r="I8" s="37" t="s">
        <v>621</v>
      </c>
      <c r="J8" s="38" t="s">
        <v>894</v>
      </c>
      <c r="K8" s="37" t="s">
        <v>621</v>
      </c>
    </row>
    <row r="9" ht="34.5" customHeight="1">
      <c r="A9" s="37" t="s">
        <v>895</v>
      </c>
      <c r="B9" s="37" t="s">
        <v>176</v>
      </c>
      <c r="C9" s="38" t="s">
        <v>896</v>
      </c>
      <c r="D9" s="37" t="s">
        <v>897</v>
      </c>
      <c r="E9" s="37"/>
      <c r="F9" s="37"/>
      <c r="G9" s="37"/>
      <c r="H9" s="37"/>
      <c r="I9" s="37" t="s">
        <v>621</v>
      </c>
      <c r="J9" s="38" t="s">
        <v>898</v>
      </c>
      <c r="K9" s="37" t="s">
        <v>621</v>
      </c>
    </row>
    <row r="10" ht="15.0" customHeight="1">
      <c r="A10" s="37" t="s">
        <v>899</v>
      </c>
      <c r="B10" s="37" t="s">
        <v>194</v>
      </c>
      <c r="C10" s="38" t="s">
        <v>900</v>
      </c>
      <c r="D10" s="37" t="s">
        <v>246</v>
      </c>
      <c r="E10" s="37"/>
      <c r="F10" s="37"/>
      <c r="G10" s="37"/>
      <c r="H10" s="37"/>
      <c r="I10" s="37" t="s">
        <v>621</v>
      </c>
      <c r="J10" s="38" t="s">
        <v>901</v>
      </c>
      <c r="K10" s="37" t="s">
        <v>621</v>
      </c>
    </row>
    <row r="11" ht="15.0" customHeight="1">
      <c r="A11" s="37" t="s">
        <v>902</v>
      </c>
      <c r="B11" s="37" t="s">
        <v>167</v>
      </c>
      <c r="C11" s="38" t="s">
        <v>903</v>
      </c>
      <c r="D11" s="37" t="s">
        <v>246</v>
      </c>
      <c r="E11" s="37"/>
      <c r="F11" s="37"/>
      <c r="G11" s="37"/>
      <c r="H11" s="37"/>
      <c r="I11" s="37" t="s">
        <v>621</v>
      </c>
      <c r="J11" s="38"/>
      <c r="K11" s="37" t="s">
        <v>621</v>
      </c>
    </row>
    <row r="12" ht="15.0" customHeight="1">
      <c r="A12" s="37" t="s">
        <v>904</v>
      </c>
      <c r="B12" s="37" t="s">
        <v>167</v>
      </c>
      <c r="C12" s="38" t="s">
        <v>905</v>
      </c>
      <c r="D12" s="37" t="s">
        <v>246</v>
      </c>
      <c r="E12" s="37"/>
      <c r="F12" s="37"/>
      <c r="G12" s="37"/>
      <c r="H12" s="37"/>
      <c r="I12" s="37" t="s">
        <v>621</v>
      </c>
      <c r="J12" s="38" t="s">
        <v>906</v>
      </c>
      <c r="K12" s="37" t="s">
        <v>621</v>
      </c>
    </row>
    <row r="13" ht="23.25" customHeight="1">
      <c r="A13" s="37" t="s">
        <v>907</v>
      </c>
      <c r="B13" s="37" t="s">
        <v>167</v>
      </c>
      <c r="C13" s="38" t="s">
        <v>908</v>
      </c>
      <c r="D13" s="37" t="s">
        <v>246</v>
      </c>
      <c r="E13" s="37"/>
      <c r="F13" s="37"/>
      <c r="G13" s="37"/>
      <c r="H13" s="37"/>
      <c r="I13" s="37" t="s">
        <v>621</v>
      </c>
      <c r="J13" s="38"/>
      <c r="K13" s="37" t="s">
        <v>621</v>
      </c>
    </row>
    <row r="14" ht="45.75" customHeight="1">
      <c r="A14" s="37" t="s">
        <v>909</v>
      </c>
      <c r="B14" s="37" t="s">
        <v>167</v>
      </c>
      <c r="C14" s="38" t="s">
        <v>910</v>
      </c>
      <c r="D14" s="37" t="s">
        <v>246</v>
      </c>
      <c r="E14" s="37"/>
      <c r="F14" s="37"/>
      <c r="G14" s="37"/>
      <c r="H14" s="37"/>
      <c r="I14" s="37" t="s">
        <v>621</v>
      </c>
      <c r="J14" s="38"/>
      <c r="K14" s="37" t="s">
        <v>621</v>
      </c>
    </row>
    <row r="15" ht="15.0" customHeight="1">
      <c r="A15" s="37" t="s">
        <v>911</v>
      </c>
      <c r="B15" s="37" t="s">
        <v>176</v>
      </c>
      <c r="C15" s="38" t="s">
        <v>912</v>
      </c>
      <c r="D15" s="37" t="s">
        <v>246</v>
      </c>
      <c r="E15" s="37"/>
      <c r="F15" s="37"/>
      <c r="G15" s="37"/>
      <c r="H15" s="37"/>
      <c r="I15" s="37" t="s">
        <v>621</v>
      </c>
      <c r="J15" s="38" t="s">
        <v>913</v>
      </c>
      <c r="K15" s="37" t="s">
        <v>621</v>
      </c>
    </row>
    <row r="16" ht="15.0" customHeight="1">
      <c r="A16" s="37" t="s">
        <v>914</v>
      </c>
      <c r="B16" s="37" t="s">
        <v>176</v>
      </c>
      <c r="C16" s="38" t="s">
        <v>915</v>
      </c>
      <c r="D16" s="37" t="s">
        <v>246</v>
      </c>
      <c r="E16" s="37"/>
      <c r="F16" s="37"/>
      <c r="G16" s="37"/>
      <c r="H16" s="37"/>
      <c r="I16" s="37" t="s">
        <v>621</v>
      </c>
      <c r="J16" s="38"/>
      <c r="K16" s="37" t="s">
        <v>621</v>
      </c>
    </row>
    <row r="17" ht="15.0" customHeight="1">
      <c r="A17" s="37" t="s">
        <v>916</v>
      </c>
      <c r="B17" s="37" t="s">
        <v>176</v>
      </c>
      <c r="C17" s="38" t="s">
        <v>917</v>
      </c>
      <c r="D17" s="37" t="s">
        <v>246</v>
      </c>
      <c r="E17" s="37"/>
      <c r="F17" s="37"/>
      <c r="G17" s="37"/>
      <c r="H17" s="37"/>
      <c r="I17" s="37" t="s">
        <v>621</v>
      </c>
      <c r="J17" s="38"/>
      <c r="K17" s="37" t="s">
        <v>621</v>
      </c>
    </row>
    <row r="18" ht="15.0" customHeight="1">
      <c r="A18" s="37" t="s">
        <v>918</v>
      </c>
      <c r="B18" s="37" t="s">
        <v>176</v>
      </c>
      <c r="C18" s="38" t="s">
        <v>917</v>
      </c>
      <c r="D18" s="37" t="s">
        <v>246</v>
      </c>
      <c r="E18" s="37"/>
      <c r="F18" s="37"/>
      <c r="G18" s="37"/>
      <c r="H18" s="37"/>
      <c r="I18" s="37" t="s">
        <v>621</v>
      </c>
      <c r="J18" s="38"/>
      <c r="K18" s="37" t="s">
        <v>621</v>
      </c>
    </row>
    <row r="19" ht="15.0" customHeight="1">
      <c r="A19" s="37" t="s">
        <v>919</v>
      </c>
      <c r="B19" s="37" t="s">
        <v>176</v>
      </c>
      <c r="C19" s="38" t="s">
        <v>920</v>
      </c>
      <c r="D19" s="37" t="s">
        <v>246</v>
      </c>
      <c r="E19" s="37"/>
      <c r="F19" s="37"/>
      <c r="G19" s="37"/>
      <c r="H19" s="37"/>
      <c r="I19" s="37" t="s">
        <v>621</v>
      </c>
      <c r="J19" s="38"/>
      <c r="K19" s="37" t="s">
        <v>621</v>
      </c>
    </row>
    <row r="20" ht="15.0" customHeight="1">
      <c r="A20" s="37" t="s">
        <v>921</v>
      </c>
      <c r="B20" s="37" t="s">
        <v>176</v>
      </c>
      <c r="C20" s="38" t="s">
        <v>917</v>
      </c>
      <c r="D20" s="37" t="s">
        <v>246</v>
      </c>
      <c r="E20" s="37"/>
      <c r="F20" s="37"/>
      <c r="G20" s="37"/>
      <c r="H20" s="37"/>
      <c r="I20" s="37" t="s">
        <v>621</v>
      </c>
      <c r="J20" s="38"/>
      <c r="K20" s="37" t="s">
        <v>621</v>
      </c>
    </row>
    <row r="21" ht="15.0" customHeight="1">
      <c r="A21" s="37" t="s">
        <v>922</v>
      </c>
      <c r="B21" s="37" t="s">
        <v>167</v>
      </c>
      <c r="C21" s="38" t="s">
        <v>923</v>
      </c>
      <c r="D21" s="37" t="s">
        <v>246</v>
      </c>
      <c r="E21" s="37" t="s">
        <v>924</v>
      </c>
      <c r="F21" s="37" t="s">
        <v>854</v>
      </c>
      <c r="G21" s="37"/>
      <c r="H21" s="37"/>
      <c r="I21" s="37" t="s">
        <v>625</v>
      </c>
      <c r="J21" s="38" t="s">
        <v>925</v>
      </c>
      <c r="K21" s="37" t="s">
        <v>621</v>
      </c>
    </row>
    <row r="22" ht="15.0" customHeight="1">
      <c r="A22" s="37" t="s">
        <v>926</v>
      </c>
      <c r="B22" s="37" t="s">
        <v>167</v>
      </c>
      <c r="C22" s="38" t="s">
        <v>927</v>
      </c>
      <c r="D22" s="37" t="s">
        <v>246</v>
      </c>
      <c r="E22" s="37"/>
      <c r="F22" s="37"/>
      <c r="G22" s="37"/>
      <c r="H22" s="37"/>
      <c r="I22" s="37" t="s">
        <v>621</v>
      </c>
      <c r="J22" s="38"/>
      <c r="K22" s="37" t="s">
        <v>621</v>
      </c>
    </row>
    <row r="23" ht="15.0" customHeight="1">
      <c r="A23" s="37" t="s">
        <v>928</v>
      </c>
      <c r="B23" s="37" t="s">
        <v>167</v>
      </c>
      <c r="C23" s="38" t="s">
        <v>923</v>
      </c>
      <c r="D23" s="37" t="s">
        <v>246</v>
      </c>
      <c r="E23" s="37"/>
      <c r="F23" s="37"/>
      <c r="G23" s="37"/>
      <c r="H23" s="37"/>
      <c r="I23" s="37" t="s">
        <v>621</v>
      </c>
      <c r="J23" s="38"/>
      <c r="K23" s="37" t="s">
        <v>621</v>
      </c>
    </row>
    <row r="24" ht="15.0" customHeight="1">
      <c r="A24" s="37" t="s">
        <v>929</v>
      </c>
      <c r="B24" s="37" t="s">
        <v>167</v>
      </c>
      <c r="C24" s="38" t="s">
        <v>930</v>
      </c>
      <c r="D24" s="37" t="s">
        <v>246</v>
      </c>
      <c r="E24" s="37"/>
      <c r="F24" s="37"/>
      <c r="G24" s="37"/>
      <c r="H24" s="37"/>
      <c r="I24" s="37" t="s">
        <v>621</v>
      </c>
      <c r="J24" s="38"/>
      <c r="K24" s="37" t="s">
        <v>621</v>
      </c>
    </row>
    <row r="25" ht="15.0" customHeight="1">
      <c r="A25" s="37" t="s">
        <v>931</v>
      </c>
      <c r="B25" s="37" t="s">
        <v>167</v>
      </c>
      <c r="C25" s="38" t="s">
        <v>930</v>
      </c>
      <c r="D25" s="37" t="s">
        <v>246</v>
      </c>
      <c r="E25" s="37"/>
      <c r="F25" s="37"/>
      <c r="G25" s="37"/>
      <c r="H25" s="37"/>
      <c r="I25" s="37" t="s">
        <v>621</v>
      </c>
      <c r="J25" s="38"/>
      <c r="K25" s="37" t="s">
        <v>621</v>
      </c>
    </row>
    <row r="26" ht="23.25" customHeight="1">
      <c r="A26" s="37" t="s">
        <v>932</v>
      </c>
      <c r="B26" s="37" t="s">
        <v>167</v>
      </c>
      <c r="C26" s="38" t="s">
        <v>933</v>
      </c>
      <c r="D26" s="37" t="s">
        <v>246</v>
      </c>
      <c r="E26" s="37"/>
      <c r="F26" s="37"/>
      <c r="G26" s="37"/>
      <c r="H26" s="37"/>
      <c r="I26" s="37" t="s">
        <v>621</v>
      </c>
      <c r="J26" s="38" t="s">
        <v>934</v>
      </c>
      <c r="K26" s="37" t="s">
        <v>621</v>
      </c>
    </row>
    <row r="27" ht="15.0" customHeight="1">
      <c r="A27" s="37" t="s">
        <v>935</v>
      </c>
      <c r="B27" s="37" t="s">
        <v>167</v>
      </c>
      <c r="C27" s="38" t="s">
        <v>936</v>
      </c>
      <c r="D27" s="37" t="s">
        <v>246</v>
      </c>
      <c r="E27" s="37"/>
      <c r="F27" s="37"/>
      <c r="G27" s="37"/>
      <c r="H27" s="37"/>
      <c r="I27" s="37" t="s">
        <v>621</v>
      </c>
      <c r="J27" s="38" t="s">
        <v>937</v>
      </c>
      <c r="K27" s="37" t="s">
        <v>621</v>
      </c>
    </row>
    <row r="28" ht="15.0" customHeight="1">
      <c r="A28" s="37" t="s">
        <v>938</v>
      </c>
      <c r="B28" s="37" t="s">
        <v>167</v>
      </c>
      <c r="C28" s="38" t="s">
        <v>939</v>
      </c>
      <c r="D28" s="37" t="s">
        <v>246</v>
      </c>
      <c r="E28" s="37"/>
      <c r="F28" s="37"/>
      <c r="G28" s="37"/>
      <c r="H28" s="37"/>
      <c r="I28" s="37" t="s">
        <v>621</v>
      </c>
      <c r="J28" s="38" t="s">
        <v>940</v>
      </c>
      <c r="K28" s="37" t="s">
        <v>621</v>
      </c>
    </row>
    <row r="29" ht="15.0" customHeight="1">
      <c r="A29" s="37" t="s">
        <v>941</v>
      </c>
      <c r="B29" s="37" t="s">
        <v>167</v>
      </c>
      <c r="C29" s="38" t="s">
        <v>942</v>
      </c>
      <c r="D29" s="37" t="s">
        <v>246</v>
      </c>
      <c r="E29" s="37"/>
      <c r="F29" s="37"/>
      <c r="G29" s="37"/>
      <c r="H29" s="37"/>
      <c r="I29" s="37" t="s">
        <v>621</v>
      </c>
      <c r="J29" s="38"/>
      <c r="K29" s="37" t="s">
        <v>621</v>
      </c>
    </row>
    <row r="30" ht="15.0" customHeight="1">
      <c r="A30" s="37" t="s">
        <v>943</v>
      </c>
      <c r="B30" s="37" t="s">
        <v>167</v>
      </c>
      <c r="C30" s="38" t="s">
        <v>942</v>
      </c>
      <c r="D30" s="37" t="s">
        <v>246</v>
      </c>
      <c r="E30" s="37"/>
      <c r="F30" s="37"/>
      <c r="G30" s="37"/>
      <c r="H30" s="37"/>
      <c r="I30" s="37" t="s">
        <v>621</v>
      </c>
      <c r="J30" s="38" t="s">
        <v>944</v>
      </c>
      <c r="K30" s="37" t="s">
        <v>621</v>
      </c>
    </row>
    <row r="31" ht="15.0" customHeight="1">
      <c r="A31" s="37" t="s">
        <v>945</v>
      </c>
      <c r="B31" s="37" t="s">
        <v>167</v>
      </c>
      <c r="C31" s="38" t="s">
        <v>942</v>
      </c>
      <c r="D31" s="37" t="s">
        <v>946</v>
      </c>
      <c r="E31" s="37"/>
      <c r="F31" s="37"/>
      <c r="G31" s="37"/>
      <c r="H31" s="37"/>
      <c r="I31" s="37" t="s">
        <v>621</v>
      </c>
      <c r="J31" s="38"/>
      <c r="K31" s="37" t="s">
        <v>621</v>
      </c>
    </row>
    <row r="32" ht="15.0" customHeight="1">
      <c r="A32" s="37" t="s">
        <v>947</v>
      </c>
      <c r="B32" s="37" t="s">
        <v>167</v>
      </c>
      <c r="C32" s="38" t="s">
        <v>948</v>
      </c>
      <c r="D32" s="37" t="s">
        <v>246</v>
      </c>
      <c r="E32" s="37"/>
      <c r="F32" s="37"/>
      <c r="G32" s="37"/>
      <c r="H32" s="37"/>
      <c r="I32" s="37" t="s">
        <v>621</v>
      </c>
      <c r="J32" s="38"/>
      <c r="K32" s="37" t="s">
        <v>621</v>
      </c>
    </row>
    <row r="33" ht="23.25" customHeight="1">
      <c r="A33" s="37" t="s">
        <v>949</v>
      </c>
      <c r="B33" s="37" t="s">
        <v>167</v>
      </c>
      <c r="C33" s="38" t="s">
        <v>950</v>
      </c>
      <c r="D33" s="37" t="s">
        <v>246</v>
      </c>
      <c r="E33" s="37"/>
      <c r="F33" s="37"/>
      <c r="G33" s="37"/>
      <c r="H33" s="37"/>
      <c r="I33" s="37" t="s">
        <v>621</v>
      </c>
      <c r="J33" s="38"/>
      <c r="K33" s="37" t="s">
        <v>621</v>
      </c>
    </row>
    <row r="34" ht="23.25" customHeight="1">
      <c r="A34" s="37" t="s">
        <v>951</v>
      </c>
      <c r="B34" s="37" t="s">
        <v>194</v>
      </c>
      <c r="C34" s="38" t="s">
        <v>952</v>
      </c>
      <c r="D34" s="37" t="s">
        <v>246</v>
      </c>
      <c r="E34" s="37" t="s">
        <v>953</v>
      </c>
      <c r="F34" s="37" t="s">
        <v>854</v>
      </c>
      <c r="G34" s="37"/>
      <c r="H34" s="37"/>
      <c r="I34" s="37" t="s">
        <v>625</v>
      </c>
      <c r="J34" s="38" t="s">
        <v>954</v>
      </c>
      <c r="K34" s="37" t="s">
        <v>621</v>
      </c>
    </row>
    <row r="35" ht="15.0" customHeight="1">
      <c r="A35" s="37" t="s">
        <v>955</v>
      </c>
      <c r="B35" s="37" t="s">
        <v>186</v>
      </c>
      <c r="C35" s="38" t="s">
        <v>956</v>
      </c>
      <c r="D35" s="37"/>
      <c r="E35" s="37" t="s">
        <v>957</v>
      </c>
      <c r="F35" s="37" t="s">
        <v>854</v>
      </c>
      <c r="G35" s="37"/>
      <c r="H35" s="37"/>
      <c r="I35" s="37" t="s">
        <v>618</v>
      </c>
      <c r="J35" s="38" t="s">
        <v>958</v>
      </c>
      <c r="K35" s="37" t="s">
        <v>825</v>
      </c>
    </row>
    <row r="36" ht="23.25" customHeight="1">
      <c r="A36" s="37" t="s">
        <v>865</v>
      </c>
      <c r="B36" s="37" t="s">
        <v>186</v>
      </c>
      <c r="C36" s="38" t="s">
        <v>863</v>
      </c>
      <c r="D36" s="37"/>
      <c r="E36" s="37" t="s">
        <v>866</v>
      </c>
      <c r="F36" s="37" t="s">
        <v>854</v>
      </c>
      <c r="G36" s="37"/>
      <c r="H36" s="37"/>
      <c r="I36" s="37" t="s">
        <v>618</v>
      </c>
      <c r="J36" s="38" t="s">
        <v>829</v>
      </c>
      <c r="K36" s="37" t="s">
        <v>825</v>
      </c>
    </row>
    <row r="37" ht="23.25" customHeight="1">
      <c r="A37" s="37" t="s">
        <v>959</v>
      </c>
      <c r="B37" s="37" t="s">
        <v>186</v>
      </c>
      <c r="C37" s="38" t="s">
        <v>960</v>
      </c>
      <c r="D37" s="37"/>
      <c r="E37" s="37"/>
      <c r="F37" s="37"/>
      <c r="G37" s="37"/>
      <c r="H37" s="37"/>
      <c r="I37" s="37" t="s">
        <v>625</v>
      </c>
      <c r="J37" s="38" t="s">
        <v>961</v>
      </c>
      <c r="K37" s="37" t="s">
        <v>825</v>
      </c>
    </row>
    <row r="38" ht="23.25" customHeight="1">
      <c r="A38" s="37" t="s">
        <v>857</v>
      </c>
      <c r="B38" s="37" t="s">
        <v>167</v>
      </c>
      <c r="C38" s="38" t="s">
        <v>855</v>
      </c>
      <c r="D38" s="37"/>
      <c r="E38" s="37" t="s">
        <v>858</v>
      </c>
      <c r="F38" s="37" t="s">
        <v>854</v>
      </c>
      <c r="G38" s="37"/>
      <c r="H38" s="37"/>
      <c r="I38" s="37" t="s">
        <v>618</v>
      </c>
      <c r="J38" s="38" t="s">
        <v>962</v>
      </c>
      <c r="K38" s="37" t="s">
        <v>825</v>
      </c>
    </row>
    <row r="39" ht="15.0" customHeight="1">
      <c r="A39" s="37" t="s">
        <v>852</v>
      </c>
      <c r="B39" s="37" t="s">
        <v>186</v>
      </c>
      <c r="C39" s="38" t="s">
        <v>963</v>
      </c>
      <c r="D39" s="37"/>
      <c r="E39" s="37" t="s">
        <v>853</v>
      </c>
      <c r="F39" s="37" t="s">
        <v>854</v>
      </c>
      <c r="G39" s="37"/>
      <c r="H39" s="37"/>
      <c r="I39" s="37" t="s">
        <v>618</v>
      </c>
      <c r="J39" s="38" t="s">
        <v>964</v>
      </c>
      <c r="K39" s="37" t="s">
        <v>825</v>
      </c>
    </row>
    <row r="40" ht="34.5" customHeight="1">
      <c r="A40" s="37" t="s">
        <v>965</v>
      </c>
      <c r="B40" s="37" t="s">
        <v>186</v>
      </c>
      <c r="C40" s="38" t="s">
        <v>966</v>
      </c>
      <c r="D40" s="37"/>
      <c r="E40" s="37"/>
      <c r="F40" s="37"/>
      <c r="G40" s="37"/>
      <c r="H40" s="37"/>
      <c r="I40" s="37" t="s">
        <v>618</v>
      </c>
      <c r="J40" s="38" t="s">
        <v>967</v>
      </c>
      <c r="K40" s="37" t="s">
        <v>621</v>
      </c>
    </row>
    <row r="41" ht="57.0" customHeight="1">
      <c r="A41" s="8" t="s">
        <v>968</v>
      </c>
      <c r="B41" s="8" t="s">
        <v>186</v>
      </c>
      <c r="C41" s="8" t="s">
        <v>969</v>
      </c>
      <c r="D41" s="1"/>
      <c r="E41" s="1"/>
      <c r="F41" s="1"/>
      <c r="G41" s="1"/>
      <c r="H41" s="1"/>
      <c r="I41" s="8" t="s">
        <v>625</v>
      </c>
      <c r="J41" s="38" t="s">
        <v>970</v>
      </c>
      <c r="K41" s="8" t="s">
        <v>825</v>
      </c>
    </row>
    <row r="42" ht="57.0" customHeight="1">
      <c r="A42" s="8" t="s">
        <v>971</v>
      </c>
      <c r="B42" s="8" t="s">
        <v>186</v>
      </c>
      <c r="C42" s="8" t="s">
        <v>972</v>
      </c>
      <c r="D42" s="1"/>
      <c r="E42" s="1"/>
      <c r="F42" s="1"/>
      <c r="G42" s="1"/>
      <c r="H42" s="1"/>
      <c r="I42" s="8" t="s">
        <v>625</v>
      </c>
      <c r="J42" s="38" t="s">
        <v>974</v>
      </c>
      <c r="K42" s="8" t="s">
        <v>825</v>
      </c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autoFilter ref="$A$1:$K$200"/>
  <conditionalFormatting sqref="A3:K1000">
    <cfRule type="expression" dxfId="0" priority="1">
      <formula>$I3="Sí - activa"</formula>
    </cfRule>
  </conditionalFormatting>
  <conditionalFormatting sqref="A3:K1000">
    <cfRule type="expression" dxfId="2" priority="2">
      <formula>$I3="Sí - pasada"</formula>
    </cfRule>
  </conditionalFormatting>
  <conditionalFormatting sqref="A3:K1000">
    <cfRule type="expression" dxfId="4" priority="3">
      <formula>$I3="No"</formula>
    </cfRule>
  </conditionalFormatting>
  <dataValidations>
    <dataValidation type="list" allowBlank="1" sqref="B3:B201">
      <formula1>CATALOGOS!$B$2:$B$11</formula1>
    </dataValidation>
    <dataValidation type="list" allowBlank="1" sqref="I3:I201">
      <formula1>"Sí - activa,Sí - pasada,No"</formula1>
    </dataValidation>
    <dataValidation type="list" allowBlank="1" sqref="K3:K201">
      <formula1>"Sí,No"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4.0"/>
    <col customWidth="1" min="3" max="3" width="16.0"/>
    <col customWidth="1" min="4" max="4" width="14.0"/>
    <col customWidth="1" min="5" max="5" width="22.0"/>
    <col customWidth="1" min="6" max="6" width="26.0"/>
    <col customWidth="1" min="7" max="7" width="40.0"/>
    <col customWidth="1" min="8" max="26" width="8.71"/>
  </cols>
  <sheetData>
    <row r="1" ht="15.0" customHeight="1">
      <c r="A1" s="20" t="s">
        <v>973</v>
      </c>
      <c r="B1" s="20" t="s">
        <v>975</v>
      </c>
      <c r="C1" s="20" t="s">
        <v>976</v>
      </c>
      <c r="D1" s="20" t="s">
        <v>977</v>
      </c>
      <c r="E1" s="20" t="s">
        <v>978</v>
      </c>
      <c r="F1" s="20" t="s">
        <v>979</v>
      </c>
      <c r="G1" s="20" t="s">
        <v>242</v>
      </c>
    </row>
    <row r="2" ht="23.25" customHeight="1">
      <c r="A2" s="37" t="s">
        <v>980</v>
      </c>
      <c r="B2" s="37" t="s">
        <v>981</v>
      </c>
      <c r="C2" s="37" t="s">
        <v>982</v>
      </c>
      <c r="D2" s="37" t="s">
        <v>983</v>
      </c>
      <c r="E2" s="37" t="s">
        <v>984</v>
      </c>
      <c r="F2" s="37" t="s">
        <v>523</v>
      </c>
      <c r="G2" s="38" t="s">
        <v>985</v>
      </c>
    </row>
    <row r="3" ht="15.0" customHeight="1">
      <c r="A3" s="37" t="s">
        <v>986</v>
      </c>
      <c r="B3" s="37" t="s">
        <v>987</v>
      </c>
      <c r="C3" s="37" t="s">
        <v>982</v>
      </c>
      <c r="D3" s="37"/>
      <c r="E3" s="37" t="s">
        <v>988</v>
      </c>
      <c r="F3" s="37" t="s">
        <v>989</v>
      </c>
      <c r="G3" s="38" t="s">
        <v>990</v>
      </c>
    </row>
    <row r="4" ht="15.0" customHeight="1">
      <c r="A4" s="37" t="s">
        <v>991</v>
      </c>
      <c r="B4" s="37" t="s">
        <v>992</v>
      </c>
      <c r="C4" s="37" t="s">
        <v>993</v>
      </c>
      <c r="D4" s="37"/>
      <c r="E4" s="37" t="s">
        <v>994</v>
      </c>
      <c r="F4" s="37"/>
      <c r="G4" s="38" t="s">
        <v>995</v>
      </c>
    </row>
    <row r="5" ht="15.0" customHeight="1">
      <c r="A5" s="37" t="s">
        <v>996</v>
      </c>
      <c r="B5" s="37" t="s">
        <v>997</v>
      </c>
      <c r="C5" s="37" t="s">
        <v>998</v>
      </c>
      <c r="D5" s="37"/>
      <c r="E5" s="37" t="s">
        <v>988</v>
      </c>
      <c r="F5" s="37" t="s">
        <v>999</v>
      </c>
      <c r="G5" s="38"/>
    </row>
    <row r="6" ht="15.0" customHeight="1">
      <c r="A6" s="37" t="s">
        <v>1000</v>
      </c>
      <c r="B6" s="37" t="s">
        <v>94</v>
      </c>
      <c r="C6" s="37"/>
      <c r="D6" s="37"/>
      <c r="E6" s="37" t="s">
        <v>988</v>
      </c>
      <c r="F6" s="37" t="s">
        <v>1001</v>
      </c>
      <c r="G6" s="38" t="s">
        <v>1002</v>
      </c>
    </row>
    <row r="7" ht="15.0" customHeight="1">
      <c r="A7" s="37" t="s">
        <v>1003</v>
      </c>
      <c r="B7" s="37" t="s">
        <v>1004</v>
      </c>
      <c r="C7" s="37" t="s">
        <v>982</v>
      </c>
      <c r="D7" s="37"/>
      <c r="E7" s="37" t="s">
        <v>1005</v>
      </c>
      <c r="F7" s="37" t="s">
        <v>1006</v>
      </c>
      <c r="G7" s="38"/>
    </row>
    <row r="8" ht="15.0" customHeight="1">
      <c r="A8" s="37" t="s">
        <v>1007</v>
      </c>
      <c r="B8" s="37" t="s">
        <v>1008</v>
      </c>
      <c r="C8" s="37"/>
      <c r="D8" s="37"/>
      <c r="E8" s="37" t="s">
        <v>1005</v>
      </c>
      <c r="F8" s="37" t="s">
        <v>1009</v>
      </c>
      <c r="G8" s="38" t="s">
        <v>1010</v>
      </c>
    </row>
    <row r="9" ht="15.0" customHeight="1">
      <c r="A9" s="37" t="s">
        <v>1011</v>
      </c>
      <c r="B9" s="37" t="s">
        <v>1012</v>
      </c>
      <c r="C9" s="37"/>
      <c r="D9" s="37"/>
      <c r="E9" s="37" t="s">
        <v>1005</v>
      </c>
      <c r="F9" s="37" t="s">
        <v>1013</v>
      </c>
      <c r="G9" s="38" t="s">
        <v>1010</v>
      </c>
    </row>
    <row r="10" ht="15.0" customHeight="1">
      <c r="A10" s="37" t="s">
        <v>1014</v>
      </c>
      <c r="B10" s="37" t="s">
        <v>1015</v>
      </c>
      <c r="C10" s="37"/>
      <c r="D10" s="37"/>
      <c r="E10" s="37" t="s">
        <v>1005</v>
      </c>
      <c r="F10" s="37" t="s">
        <v>1016</v>
      </c>
      <c r="G10" s="38" t="s">
        <v>1010</v>
      </c>
    </row>
    <row r="11" ht="15.0" customHeight="1">
      <c r="A11" s="37" t="s">
        <v>1017</v>
      </c>
      <c r="B11" s="37" t="s">
        <v>1018</v>
      </c>
      <c r="C11" s="37"/>
      <c r="D11" s="37"/>
      <c r="E11" s="37" t="s">
        <v>1005</v>
      </c>
      <c r="F11" s="37" t="s">
        <v>1019</v>
      </c>
      <c r="G11" s="38"/>
    </row>
    <row r="12" ht="15.0" customHeight="1">
      <c r="A12" s="37" t="s">
        <v>1020</v>
      </c>
      <c r="B12" s="37" t="s">
        <v>1021</v>
      </c>
      <c r="C12" s="37" t="s">
        <v>1022</v>
      </c>
      <c r="D12" s="37"/>
      <c r="E12" s="37" t="s">
        <v>1005</v>
      </c>
      <c r="F12" s="37" t="s">
        <v>1019</v>
      </c>
      <c r="G12" s="38" t="s">
        <v>432</v>
      </c>
    </row>
    <row r="13" ht="15.0" customHeight="1">
      <c r="A13" s="37" t="s">
        <v>1023</v>
      </c>
      <c r="B13" s="37" t="s">
        <v>1024</v>
      </c>
      <c r="C13" s="37" t="s">
        <v>1025</v>
      </c>
      <c r="D13" s="37" t="s">
        <v>246</v>
      </c>
      <c r="E13" s="37" t="s">
        <v>1005</v>
      </c>
      <c r="F13" s="37" t="s">
        <v>523</v>
      </c>
      <c r="G13" s="38"/>
    </row>
    <row r="14" ht="15.0" customHeight="1">
      <c r="A14" s="37" t="s">
        <v>1026</v>
      </c>
      <c r="B14" s="37" t="s">
        <v>1027</v>
      </c>
      <c r="C14" s="37" t="s">
        <v>1028</v>
      </c>
      <c r="D14" s="37" t="s">
        <v>983</v>
      </c>
      <c r="E14" s="37" t="s">
        <v>1005</v>
      </c>
      <c r="F14" s="37"/>
      <c r="G14" s="38"/>
    </row>
    <row r="15" ht="15.0" customHeight="1">
      <c r="A15" s="37" t="s">
        <v>1029</v>
      </c>
      <c r="B15" s="37" t="s">
        <v>1030</v>
      </c>
      <c r="C15" s="37" t="s">
        <v>982</v>
      </c>
      <c r="D15" s="37"/>
      <c r="E15" s="37" t="s">
        <v>1005</v>
      </c>
      <c r="F15" s="37" t="s">
        <v>1031</v>
      </c>
      <c r="G15" s="38"/>
    </row>
    <row r="16" ht="15.0" customHeight="1">
      <c r="A16" s="37" t="s">
        <v>1032</v>
      </c>
      <c r="B16" s="37" t="s">
        <v>1033</v>
      </c>
      <c r="C16" s="37"/>
      <c r="D16" s="37"/>
      <c r="E16" s="37" t="s">
        <v>1005</v>
      </c>
      <c r="F16" s="37" t="s">
        <v>1034</v>
      </c>
      <c r="G16" s="38" t="s">
        <v>1035</v>
      </c>
    </row>
    <row r="17" ht="15.0" customHeight="1">
      <c r="A17" s="37" t="s">
        <v>1036</v>
      </c>
      <c r="B17" s="37" t="s">
        <v>1037</v>
      </c>
      <c r="C17" s="37"/>
      <c r="D17" s="37" t="s">
        <v>983</v>
      </c>
      <c r="E17" s="37" t="s">
        <v>1005</v>
      </c>
      <c r="F17" s="37"/>
      <c r="G17" s="38"/>
    </row>
    <row r="18" ht="15.0" customHeight="1">
      <c r="A18" s="37" t="s">
        <v>1038</v>
      </c>
      <c r="B18" s="37" t="s">
        <v>518</v>
      </c>
      <c r="C18" s="37" t="s">
        <v>1039</v>
      </c>
      <c r="D18" s="37"/>
      <c r="E18" s="37" t="s">
        <v>1005</v>
      </c>
      <c r="F18" s="37" t="s">
        <v>383</v>
      </c>
      <c r="G18" s="38" t="s">
        <v>1040</v>
      </c>
    </row>
    <row r="19" ht="15.0" customHeight="1">
      <c r="A19" s="37" t="s">
        <v>1041</v>
      </c>
      <c r="B19" s="37" t="s">
        <v>1042</v>
      </c>
      <c r="C19" s="37" t="s">
        <v>1043</v>
      </c>
      <c r="D19" s="37" t="s">
        <v>1044</v>
      </c>
      <c r="E19" s="37" t="s">
        <v>1005</v>
      </c>
      <c r="F19" s="37"/>
      <c r="G19" s="38"/>
    </row>
    <row r="20" ht="15.0" customHeight="1">
      <c r="A20" s="37" t="s">
        <v>1045</v>
      </c>
      <c r="B20" s="37" t="s">
        <v>1046</v>
      </c>
      <c r="C20" s="37" t="s">
        <v>982</v>
      </c>
      <c r="D20" s="37"/>
      <c r="E20" s="37" t="s">
        <v>1005</v>
      </c>
      <c r="F20" s="37"/>
      <c r="G20" s="38"/>
    </row>
    <row r="21" ht="15.0" customHeight="1">
      <c r="A21" s="37" t="s">
        <v>1047</v>
      </c>
      <c r="B21" s="37" t="s">
        <v>1048</v>
      </c>
      <c r="C21" s="37" t="s">
        <v>1049</v>
      </c>
      <c r="D21" s="37"/>
      <c r="E21" s="37" t="s">
        <v>1005</v>
      </c>
      <c r="F21" s="37"/>
      <c r="G21" s="38"/>
    </row>
    <row r="22" ht="15.0" customHeight="1">
      <c r="A22" s="37" t="s">
        <v>1050</v>
      </c>
      <c r="B22" s="37" t="s">
        <v>1051</v>
      </c>
      <c r="C22" s="37" t="s">
        <v>1052</v>
      </c>
      <c r="D22" s="37"/>
      <c r="E22" s="37" t="s">
        <v>1005</v>
      </c>
      <c r="F22" s="37"/>
      <c r="G22" s="38"/>
    </row>
    <row r="23" ht="15.0" customHeight="1">
      <c r="A23" s="37" t="s">
        <v>1053</v>
      </c>
      <c r="B23" s="37" t="s">
        <v>1054</v>
      </c>
      <c r="C23" s="37" t="s">
        <v>1022</v>
      </c>
      <c r="D23" s="37"/>
      <c r="E23" s="37" t="s">
        <v>1005</v>
      </c>
      <c r="F23" s="37"/>
      <c r="G23" s="38"/>
    </row>
    <row r="24" ht="15.0" customHeight="1">
      <c r="A24" s="37" t="s">
        <v>1055</v>
      </c>
      <c r="B24" s="37" t="s">
        <v>1056</v>
      </c>
      <c r="C24" s="37" t="s">
        <v>1057</v>
      </c>
      <c r="D24" s="37" t="s">
        <v>983</v>
      </c>
      <c r="E24" s="37" t="s">
        <v>1005</v>
      </c>
      <c r="F24" s="37"/>
      <c r="G24" s="38"/>
    </row>
    <row r="25" ht="15.0" customHeight="1">
      <c r="A25" s="37" t="s">
        <v>1058</v>
      </c>
      <c r="B25" s="37" t="s">
        <v>1059</v>
      </c>
      <c r="C25" s="37" t="s">
        <v>1060</v>
      </c>
      <c r="D25" s="37" t="s">
        <v>983</v>
      </c>
      <c r="E25" s="37" t="s">
        <v>1005</v>
      </c>
      <c r="F25" s="37"/>
      <c r="G25" s="38"/>
    </row>
    <row r="26" ht="15.0" customHeight="1">
      <c r="A26" s="37" t="s">
        <v>1061</v>
      </c>
      <c r="B26" s="37" t="s">
        <v>1062</v>
      </c>
      <c r="C26" s="37"/>
      <c r="D26" s="37" t="s">
        <v>983</v>
      </c>
      <c r="E26" s="37" t="s">
        <v>1005</v>
      </c>
      <c r="F26" s="37"/>
      <c r="G26" s="38"/>
    </row>
    <row r="27" ht="15.0" customHeight="1">
      <c r="A27" s="37" t="s">
        <v>1063</v>
      </c>
      <c r="B27" s="37" t="s">
        <v>1064</v>
      </c>
      <c r="C27" s="37" t="s">
        <v>982</v>
      </c>
      <c r="D27" s="37" t="s">
        <v>1065</v>
      </c>
      <c r="E27" s="37" t="s">
        <v>1005</v>
      </c>
      <c r="F27" s="37"/>
      <c r="G27" s="38"/>
    </row>
    <row r="28" ht="15.0" customHeight="1">
      <c r="A28" s="37" t="s">
        <v>1066</v>
      </c>
      <c r="B28" s="37" t="s">
        <v>1067</v>
      </c>
      <c r="C28" s="37" t="s">
        <v>998</v>
      </c>
      <c r="D28" s="37" t="s">
        <v>983</v>
      </c>
      <c r="E28" s="37" t="s">
        <v>1005</v>
      </c>
      <c r="F28" s="37"/>
      <c r="G28" s="38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sheetData>
    <row r="1">
      <c r="A1" s="51" t="s">
        <v>4</v>
      </c>
      <c r="B1" s="51" t="s">
        <v>797</v>
      </c>
      <c r="C1" s="51" t="s">
        <v>1068</v>
      </c>
      <c r="D1" s="51" t="s">
        <v>1069</v>
      </c>
      <c r="E1" s="51" t="s">
        <v>1070</v>
      </c>
      <c r="F1" s="51" t="s">
        <v>1071</v>
      </c>
      <c r="G1" s="51" t="s">
        <v>1072</v>
      </c>
      <c r="H1" s="51" t="s">
        <v>1073</v>
      </c>
      <c r="I1" s="51" t="s">
        <v>1074</v>
      </c>
      <c r="J1" s="51" t="s">
        <v>1075</v>
      </c>
      <c r="K1" s="51" t="s">
        <v>1076</v>
      </c>
      <c r="L1" s="51" t="s">
        <v>1077</v>
      </c>
      <c r="M1" s="51" t="s">
        <v>1078</v>
      </c>
      <c r="N1" s="51" t="s">
        <v>1079</v>
      </c>
      <c r="O1" s="51" t="s">
        <v>1080</v>
      </c>
      <c r="P1" s="51" t="s">
        <v>1081</v>
      </c>
      <c r="Q1" s="51" t="s">
        <v>1082</v>
      </c>
      <c r="R1" s="51" t="s">
        <v>1083</v>
      </c>
      <c r="S1" s="51" t="s">
        <v>1084</v>
      </c>
      <c r="T1" s="51" t="s">
        <v>1085</v>
      </c>
      <c r="U1" s="51" t="s">
        <v>1086</v>
      </c>
      <c r="V1" s="51" t="s">
        <v>1087</v>
      </c>
      <c r="W1" s="51" t="s">
        <v>242</v>
      </c>
      <c r="X1" s="51" t="s">
        <v>1088</v>
      </c>
    </row>
    <row r="2">
      <c r="A2" s="51" t="s">
        <v>71</v>
      </c>
      <c r="B2" s="51">
        <v>150000.0</v>
      </c>
      <c r="C2" s="51">
        <v>130000.0</v>
      </c>
      <c r="D2" s="51">
        <v>180000.0</v>
      </c>
      <c r="E2" s="48">
        <f t="shared" ref="E2:E4" si="1">MAX(B2,C2)*1.5</f>
        <v>225000</v>
      </c>
      <c r="F2" s="51">
        <v>100000.0</v>
      </c>
      <c r="G2" s="51">
        <v>40000.0</v>
      </c>
      <c r="H2" s="51">
        <v>20000.0</v>
      </c>
      <c r="I2" s="51">
        <v>120000.0</v>
      </c>
      <c r="J2" s="51" t="s">
        <v>1089</v>
      </c>
      <c r="K2" s="51">
        <v>75000.0</v>
      </c>
      <c r="L2" s="51" t="s">
        <v>369</v>
      </c>
      <c r="M2" s="51" t="s">
        <v>1090</v>
      </c>
      <c r="N2" s="51" t="s">
        <v>355</v>
      </c>
      <c r="O2" s="51" t="s">
        <v>355</v>
      </c>
      <c r="P2" s="51" t="s">
        <v>355</v>
      </c>
      <c r="Q2" s="51" t="s">
        <v>1089</v>
      </c>
      <c r="R2" s="51">
        <v>150000.0</v>
      </c>
      <c r="S2" s="51">
        <v>50000.0</v>
      </c>
      <c r="T2" s="51">
        <v>450000.0</v>
      </c>
      <c r="U2" s="51" t="s">
        <v>355</v>
      </c>
      <c r="V2" s="3" t="s">
        <v>1091</v>
      </c>
      <c r="W2" s="51" t="s">
        <v>1092</v>
      </c>
      <c r="X2" s="51" t="s">
        <v>1093</v>
      </c>
    </row>
    <row r="3">
      <c r="A3" s="51" t="s">
        <v>196</v>
      </c>
      <c r="B3" s="51">
        <v>90000.0</v>
      </c>
      <c r="C3" s="51">
        <v>130000.0</v>
      </c>
      <c r="D3" s="51">
        <v>150000.0</v>
      </c>
      <c r="E3" s="48">
        <f t="shared" si="1"/>
        <v>195000</v>
      </c>
      <c r="F3" s="51">
        <v>80000.0</v>
      </c>
      <c r="G3" s="51">
        <v>40000.0</v>
      </c>
      <c r="H3" s="51">
        <v>15000.0</v>
      </c>
      <c r="I3" s="51">
        <v>100000.0</v>
      </c>
      <c r="J3" s="51" t="s">
        <v>1089</v>
      </c>
      <c r="K3" s="51">
        <v>50000.0</v>
      </c>
      <c r="L3" s="51" t="s">
        <v>369</v>
      </c>
      <c r="M3" s="51" t="s">
        <v>360</v>
      </c>
      <c r="N3" s="51" t="s">
        <v>355</v>
      </c>
      <c r="O3" s="51" t="s">
        <v>355</v>
      </c>
      <c r="P3" s="51" t="s">
        <v>355</v>
      </c>
      <c r="Q3" s="51" t="s">
        <v>1089</v>
      </c>
      <c r="R3" s="51">
        <v>150000.0</v>
      </c>
      <c r="S3" s="51">
        <v>40000.0</v>
      </c>
      <c r="T3" s="51">
        <v>250000.0</v>
      </c>
      <c r="U3" s="51" t="s">
        <v>355</v>
      </c>
      <c r="V3" s="3" t="s">
        <v>1091</v>
      </c>
      <c r="W3" s="51" t="s">
        <v>1094</v>
      </c>
      <c r="X3" s="51" t="s">
        <v>1093</v>
      </c>
    </row>
    <row r="4">
      <c r="A4" s="51" t="s">
        <v>78</v>
      </c>
      <c r="B4" s="51">
        <v>100000.0</v>
      </c>
      <c r="C4" s="51">
        <v>150000.0</v>
      </c>
      <c r="D4" s="51">
        <v>180000.0</v>
      </c>
      <c r="E4" s="48">
        <f t="shared" si="1"/>
        <v>225000</v>
      </c>
      <c r="F4" s="51">
        <v>80000.0</v>
      </c>
      <c r="G4" s="51">
        <v>40000.0</v>
      </c>
      <c r="H4" s="51">
        <v>15000.0</v>
      </c>
      <c r="I4" s="51">
        <v>100000.0</v>
      </c>
      <c r="J4" s="51" t="s">
        <v>1089</v>
      </c>
      <c r="K4" s="51" t="s">
        <v>1089</v>
      </c>
      <c r="L4" s="51" t="s">
        <v>1089</v>
      </c>
      <c r="M4" s="51" t="s">
        <v>1089</v>
      </c>
      <c r="N4" s="51" t="s">
        <v>1089</v>
      </c>
      <c r="O4" s="51" t="s">
        <v>1089</v>
      </c>
      <c r="P4" s="51" t="s">
        <v>1089</v>
      </c>
      <c r="Q4" s="51" t="s">
        <v>1089</v>
      </c>
      <c r="R4" s="51">
        <v>150000.0</v>
      </c>
      <c r="S4" s="51">
        <v>40000.0</v>
      </c>
      <c r="T4" s="51">
        <v>50000.0</v>
      </c>
      <c r="U4" s="51" t="s">
        <v>355</v>
      </c>
      <c r="V4" s="3" t="s">
        <v>1091</v>
      </c>
      <c r="W4" s="51" t="s">
        <v>1095</v>
      </c>
      <c r="X4" s="51" t="s">
        <v>1093</v>
      </c>
    </row>
    <row r="5">
      <c r="A5" s="51" t="s">
        <v>51</v>
      </c>
      <c r="B5" s="51" t="s">
        <v>369</v>
      </c>
      <c r="C5" s="51" t="s">
        <v>369</v>
      </c>
      <c r="D5" s="51" t="s">
        <v>369</v>
      </c>
      <c r="E5" s="51" t="s">
        <v>369</v>
      </c>
      <c r="F5" s="51" t="s">
        <v>369</v>
      </c>
      <c r="G5" s="51" t="s">
        <v>369</v>
      </c>
      <c r="H5" s="51" t="s">
        <v>369</v>
      </c>
      <c r="I5" s="51" t="s">
        <v>369</v>
      </c>
      <c r="J5" s="51" t="s">
        <v>1089</v>
      </c>
      <c r="K5" s="51" t="s">
        <v>1089</v>
      </c>
      <c r="L5" s="51" t="s">
        <v>1089</v>
      </c>
      <c r="M5" s="51" t="s">
        <v>1089</v>
      </c>
      <c r="N5" s="51" t="s">
        <v>1089</v>
      </c>
      <c r="O5" s="51" t="s">
        <v>1089</v>
      </c>
      <c r="P5" s="51" t="s">
        <v>1089</v>
      </c>
      <c r="Q5" s="51" t="s">
        <v>1089</v>
      </c>
      <c r="R5" s="51" t="s">
        <v>369</v>
      </c>
      <c r="S5" s="51" t="s">
        <v>369</v>
      </c>
      <c r="T5" s="51">
        <v>750000.0</v>
      </c>
      <c r="U5" s="51" t="s">
        <v>355</v>
      </c>
      <c r="V5" s="3" t="s">
        <v>1091</v>
      </c>
      <c r="W5" s="51" t="s">
        <v>1096</v>
      </c>
      <c r="X5" s="51" t="s">
        <v>1093</v>
      </c>
    </row>
    <row r="6">
      <c r="A6" s="51" t="s">
        <v>60</v>
      </c>
      <c r="B6" s="51" t="s">
        <v>369</v>
      </c>
      <c r="C6" s="51" t="s">
        <v>369</v>
      </c>
      <c r="D6" s="51" t="s">
        <v>369</v>
      </c>
      <c r="E6" s="51" t="s">
        <v>369</v>
      </c>
      <c r="F6" s="51" t="s">
        <v>369</v>
      </c>
      <c r="G6" s="51" t="s">
        <v>369</v>
      </c>
      <c r="H6" s="51" t="s">
        <v>369</v>
      </c>
      <c r="I6" s="51" t="s">
        <v>369</v>
      </c>
      <c r="J6" s="51" t="s">
        <v>1089</v>
      </c>
      <c r="K6" s="51" t="s">
        <v>1089</v>
      </c>
      <c r="L6" s="51" t="s">
        <v>1089</v>
      </c>
      <c r="M6" s="51" t="s">
        <v>1089</v>
      </c>
      <c r="N6" s="51" t="s">
        <v>1089</v>
      </c>
      <c r="O6" s="51" t="s">
        <v>1089</v>
      </c>
      <c r="P6" s="51" t="s">
        <v>1089</v>
      </c>
      <c r="Q6" s="51" t="s">
        <v>1089</v>
      </c>
      <c r="R6" s="51" t="s">
        <v>369</v>
      </c>
      <c r="S6" s="51" t="s">
        <v>369</v>
      </c>
      <c r="T6" s="51" t="s">
        <v>369</v>
      </c>
      <c r="U6" s="51" t="s">
        <v>355</v>
      </c>
      <c r="V6" s="3" t="s">
        <v>1091</v>
      </c>
      <c r="W6" s="51" t="s">
        <v>1097</v>
      </c>
      <c r="X6" s="51" t="s">
        <v>1093</v>
      </c>
    </row>
    <row r="7">
      <c r="A7" s="51" t="s">
        <v>86</v>
      </c>
      <c r="B7" s="51" t="s">
        <v>369</v>
      </c>
      <c r="C7" s="51" t="s">
        <v>369</v>
      </c>
      <c r="D7" s="51" t="s">
        <v>369</v>
      </c>
      <c r="E7" s="51" t="s">
        <v>369</v>
      </c>
      <c r="F7" s="51" t="s">
        <v>369</v>
      </c>
      <c r="G7" s="51" t="s">
        <v>369</v>
      </c>
      <c r="H7" s="51" t="s">
        <v>369</v>
      </c>
      <c r="I7" s="51" t="s">
        <v>369</v>
      </c>
      <c r="J7" s="51" t="s">
        <v>369</v>
      </c>
      <c r="K7" s="51" t="s">
        <v>1089</v>
      </c>
      <c r="L7" s="51" t="s">
        <v>1089</v>
      </c>
      <c r="M7" s="51" t="s">
        <v>1089</v>
      </c>
      <c r="N7" s="51" t="s">
        <v>1089</v>
      </c>
      <c r="O7" s="51" t="s">
        <v>1089</v>
      </c>
      <c r="P7" s="51" t="s">
        <v>1089</v>
      </c>
      <c r="Q7" s="51" t="s">
        <v>1089</v>
      </c>
      <c r="R7" s="51" t="s">
        <v>369</v>
      </c>
      <c r="S7" s="51" t="s">
        <v>369</v>
      </c>
      <c r="T7" s="51" t="s">
        <v>1089</v>
      </c>
      <c r="U7" s="51" t="s">
        <v>355</v>
      </c>
      <c r="V7" s="3" t="s">
        <v>1091</v>
      </c>
      <c r="W7" s="51" t="s">
        <v>1098</v>
      </c>
      <c r="X7" s="51" t="s">
        <v>1093</v>
      </c>
    </row>
    <row r="8">
      <c r="A8" s="51" t="s">
        <v>100</v>
      </c>
      <c r="B8" s="51">
        <v>100000.0</v>
      </c>
      <c r="C8" s="51" t="s">
        <v>355</v>
      </c>
      <c r="D8" s="51" t="s">
        <v>355</v>
      </c>
      <c r="E8" s="51" t="s">
        <v>355</v>
      </c>
      <c r="F8" s="51">
        <v>80000.0</v>
      </c>
      <c r="G8" s="51" t="s">
        <v>355</v>
      </c>
      <c r="H8" s="51" t="s">
        <v>355</v>
      </c>
      <c r="I8" s="51">
        <v>100000.0</v>
      </c>
      <c r="J8" s="51" t="s">
        <v>1089</v>
      </c>
      <c r="K8" s="51" t="s">
        <v>355</v>
      </c>
      <c r="L8" s="51" t="s">
        <v>355</v>
      </c>
      <c r="M8" s="51" t="s">
        <v>1090</v>
      </c>
      <c r="N8" s="51" t="s">
        <v>355</v>
      </c>
      <c r="O8" s="51" t="s">
        <v>355</v>
      </c>
      <c r="P8" s="51" t="s">
        <v>355</v>
      </c>
      <c r="Q8" s="51" t="s">
        <v>1089</v>
      </c>
      <c r="R8" s="51">
        <v>150000.0</v>
      </c>
      <c r="S8" s="51" t="s">
        <v>355</v>
      </c>
      <c r="T8" s="51" t="s">
        <v>1089</v>
      </c>
      <c r="U8" s="51" t="s">
        <v>355</v>
      </c>
      <c r="V8" s="3" t="s">
        <v>1091</v>
      </c>
      <c r="W8" s="51" t="s">
        <v>1099</v>
      </c>
      <c r="X8" s="51" t="s">
        <v>1093</v>
      </c>
    </row>
    <row r="9">
      <c r="A9" s="51" t="s">
        <v>382</v>
      </c>
      <c r="B9" s="51">
        <v>30000.0</v>
      </c>
      <c r="C9" s="51">
        <v>60000.0</v>
      </c>
      <c r="D9" s="51">
        <v>80000.0</v>
      </c>
      <c r="E9" s="48">
        <f t="shared" ref="E9:E17" si="2">MAX(B9,C9)*1.5</f>
        <v>90000</v>
      </c>
      <c r="F9" s="51">
        <v>50000.0</v>
      </c>
      <c r="G9" s="51">
        <v>20000.0</v>
      </c>
      <c r="H9" s="51">
        <v>10000.0</v>
      </c>
      <c r="I9" s="51">
        <v>30000.0</v>
      </c>
      <c r="J9" s="51" t="s">
        <v>1089</v>
      </c>
      <c r="K9" s="51" t="s">
        <v>1089</v>
      </c>
      <c r="L9" s="51" t="s">
        <v>1089</v>
      </c>
      <c r="M9" s="51" t="s">
        <v>1089</v>
      </c>
      <c r="N9" s="51" t="s">
        <v>1089</v>
      </c>
      <c r="O9" s="51" t="s">
        <v>1089</v>
      </c>
      <c r="P9" s="51" t="s">
        <v>1089</v>
      </c>
      <c r="Q9" s="51" t="s">
        <v>1089</v>
      </c>
      <c r="R9" s="51" t="s">
        <v>1089</v>
      </c>
      <c r="S9" s="51">
        <v>25000.0</v>
      </c>
      <c r="T9" s="51" t="s">
        <v>1089</v>
      </c>
      <c r="U9" s="51" t="s">
        <v>355</v>
      </c>
      <c r="V9" s="3" t="s">
        <v>1091</v>
      </c>
      <c r="W9" s="51" t="s">
        <v>1100</v>
      </c>
      <c r="X9" s="51" t="s">
        <v>1093</v>
      </c>
    </row>
    <row r="10">
      <c r="A10" s="51" t="s">
        <v>94</v>
      </c>
      <c r="B10" s="51">
        <v>70000.0</v>
      </c>
      <c r="C10" s="51">
        <v>40000.0</v>
      </c>
      <c r="D10" s="51">
        <v>35000.0</v>
      </c>
      <c r="E10" s="48">
        <f t="shared" si="2"/>
        <v>105000</v>
      </c>
      <c r="F10" s="51">
        <v>30000.0</v>
      </c>
      <c r="G10" s="51">
        <v>15000.0</v>
      </c>
      <c r="H10" s="51">
        <v>10000.0</v>
      </c>
      <c r="I10" s="51">
        <v>80000.0</v>
      </c>
      <c r="J10" s="51" t="s">
        <v>1089</v>
      </c>
      <c r="K10" s="51">
        <v>60000.0</v>
      </c>
      <c r="L10" s="51">
        <v>120000.0</v>
      </c>
      <c r="M10" s="51" t="s">
        <v>360</v>
      </c>
      <c r="N10" s="51">
        <v>20000.0</v>
      </c>
      <c r="O10" s="51">
        <v>50000.0</v>
      </c>
      <c r="P10" s="51">
        <v>100000.0</v>
      </c>
      <c r="Q10" s="51" t="s">
        <v>1089</v>
      </c>
      <c r="R10" s="51">
        <v>100000.0</v>
      </c>
      <c r="S10" s="51">
        <v>25000.0</v>
      </c>
      <c r="T10" s="51" t="s">
        <v>1089</v>
      </c>
      <c r="U10" s="51" t="s">
        <v>355</v>
      </c>
      <c r="V10" s="3" t="s">
        <v>1091</v>
      </c>
      <c r="W10" s="51" t="s">
        <v>1101</v>
      </c>
      <c r="X10" s="51" t="s">
        <v>1093</v>
      </c>
    </row>
    <row r="11">
      <c r="A11" s="51" t="s">
        <v>97</v>
      </c>
      <c r="B11" s="51">
        <v>30000.0</v>
      </c>
      <c r="C11" s="51">
        <v>70000.0</v>
      </c>
      <c r="D11" s="51">
        <v>100000.0</v>
      </c>
      <c r="E11" s="48">
        <f t="shared" si="2"/>
        <v>105000</v>
      </c>
      <c r="F11" s="51">
        <v>50000.0</v>
      </c>
      <c r="G11" s="51">
        <v>30000.0</v>
      </c>
      <c r="H11" s="51">
        <v>20000.0</v>
      </c>
      <c r="I11" s="51">
        <v>60000.0</v>
      </c>
      <c r="J11" s="51">
        <v>80000.0</v>
      </c>
      <c r="K11" s="51">
        <v>50000.0</v>
      </c>
      <c r="L11" s="51" t="s">
        <v>369</v>
      </c>
      <c r="M11" s="51" t="s">
        <v>1102</v>
      </c>
      <c r="N11" s="51" t="s">
        <v>355</v>
      </c>
      <c r="O11" s="51" t="s">
        <v>355</v>
      </c>
      <c r="P11" s="51" t="s">
        <v>355</v>
      </c>
      <c r="Q11" s="51">
        <v>150000.0</v>
      </c>
      <c r="R11" s="51" t="s">
        <v>1089</v>
      </c>
      <c r="S11" s="51">
        <v>40000.0</v>
      </c>
      <c r="T11" s="51" t="s">
        <v>1089</v>
      </c>
      <c r="U11" s="51" t="s">
        <v>355</v>
      </c>
      <c r="V11" s="3" t="s">
        <v>1091</v>
      </c>
      <c r="W11" s="51" t="s">
        <v>1103</v>
      </c>
      <c r="X11" s="51" t="s">
        <v>1093</v>
      </c>
    </row>
    <row r="12">
      <c r="A12" s="51" t="s">
        <v>394</v>
      </c>
      <c r="B12" s="51">
        <v>200000.0</v>
      </c>
      <c r="C12" s="51">
        <v>160000.0</v>
      </c>
      <c r="D12" s="51" t="s">
        <v>355</v>
      </c>
      <c r="E12" s="48">
        <f t="shared" si="2"/>
        <v>300000</v>
      </c>
      <c r="F12" s="51">
        <v>100000.0</v>
      </c>
      <c r="G12" s="51">
        <v>60000.0</v>
      </c>
      <c r="H12" s="51">
        <v>25000.0</v>
      </c>
      <c r="I12" s="51">
        <v>150000.0</v>
      </c>
      <c r="J12" s="51" t="s">
        <v>1089</v>
      </c>
      <c r="K12" s="51" t="s">
        <v>1089</v>
      </c>
      <c r="L12" s="51" t="s">
        <v>1089</v>
      </c>
      <c r="M12" s="51" t="s">
        <v>1089</v>
      </c>
      <c r="N12" s="51" t="s">
        <v>1089</v>
      </c>
      <c r="O12" s="51" t="s">
        <v>1089</v>
      </c>
      <c r="P12" s="51" t="s">
        <v>1089</v>
      </c>
      <c r="Q12" s="51" t="s">
        <v>1089</v>
      </c>
      <c r="R12" s="51" t="s">
        <v>1089</v>
      </c>
      <c r="S12" s="51">
        <v>75000.0</v>
      </c>
      <c r="T12" s="51" t="s">
        <v>1089</v>
      </c>
      <c r="U12" s="51" t="s">
        <v>355</v>
      </c>
      <c r="V12" s="3" t="s">
        <v>1091</v>
      </c>
      <c r="W12" s="51" t="s">
        <v>1104</v>
      </c>
      <c r="X12" s="51" t="s">
        <v>1093</v>
      </c>
    </row>
    <row r="13">
      <c r="A13" s="51" t="s">
        <v>82</v>
      </c>
      <c r="B13" s="51">
        <v>25000.0</v>
      </c>
      <c r="C13" s="51">
        <v>50000.0</v>
      </c>
      <c r="D13" s="51">
        <v>40000.0</v>
      </c>
      <c r="E13" s="48">
        <f t="shared" si="2"/>
        <v>75000</v>
      </c>
      <c r="F13" s="51">
        <v>20000.0</v>
      </c>
      <c r="G13" s="51">
        <v>15000.0</v>
      </c>
      <c r="H13" s="51">
        <v>5000.0</v>
      </c>
      <c r="I13" s="51">
        <v>15000.0</v>
      </c>
      <c r="J13" s="51" t="s">
        <v>1089</v>
      </c>
      <c r="K13" s="51">
        <v>15000.0</v>
      </c>
      <c r="L13" s="51" t="s">
        <v>369</v>
      </c>
      <c r="M13" s="51" t="s">
        <v>1090</v>
      </c>
      <c r="N13" s="51" t="s">
        <v>1089</v>
      </c>
      <c r="O13" s="51" t="s">
        <v>1089</v>
      </c>
      <c r="P13" s="51" t="s">
        <v>1089</v>
      </c>
      <c r="Q13" s="51" t="s">
        <v>1089</v>
      </c>
      <c r="R13" s="51" t="s">
        <v>1089</v>
      </c>
      <c r="S13" s="51">
        <v>10000.0</v>
      </c>
      <c r="T13" s="51" t="s">
        <v>1089</v>
      </c>
      <c r="U13" s="51" t="s">
        <v>355</v>
      </c>
      <c r="V13" s="3" t="s">
        <v>1091</v>
      </c>
      <c r="W13" s="51" t="s">
        <v>1105</v>
      </c>
      <c r="X13" s="51" t="s">
        <v>1093</v>
      </c>
    </row>
    <row r="14">
      <c r="A14" s="51" t="s">
        <v>105</v>
      </c>
      <c r="B14" s="51">
        <v>30000.0</v>
      </c>
      <c r="C14" s="51">
        <v>60000.0</v>
      </c>
      <c r="D14" s="51" t="s">
        <v>355</v>
      </c>
      <c r="E14" s="48">
        <f t="shared" si="2"/>
        <v>90000</v>
      </c>
      <c r="F14" s="51">
        <v>40000.0</v>
      </c>
      <c r="G14" s="51">
        <v>25000.0</v>
      </c>
      <c r="H14" s="51">
        <v>10000.0</v>
      </c>
      <c r="I14" s="51">
        <v>50000.0</v>
      </c>
      <c r="J14" s="51" t="s">
        <v>1089</v>
      </c>
      <c r="K14" s="51">
        <v>40000.0</v>
      </c>
      <c r="L14" s="51">
        <v>80000.0</v>
      </c>
      <c r="M14" s="51" t="s">
        <v>1090</v>
      </c>
      <c r="N14" s="51" t="s">
        <v>355</v>
      </c>
      <c r="O14" s="51" t="s">
        <v>355</v>
      </c>
      <c r="P14" s="51" t="s">
        <v>355</v>
      </c>
      <c r="Q14" s="51" t="s">
        <v>1089</v>
      </c>
      <c r="R14" s="51">
        <v>100000.0</v>
      </c>
      <c r="S14" s="51">
        <v>25000.0</v>
      </c>
      <c r="T14" s="51" t="s">
        <v>1089</v>
      </c>
      <c r="U14" s="51" t="s">
        <v>355</v>
      </c>
      <c r="V14" s="3" t="s">
        <v>1091</v>
      </c>
      <c r="W14" s="51" t="s">
        <v>1106</v>
      </c>
      <c r="X14" s="51" t="s">
        <v>1093</v>
      </c>
    </row>
    <row r="15">
      <c r="A15" s="51" t="s">
        <v>120</v>
      </c>
      <c r="B15" s="51">
        <v>100000.0</v>
      </c>
      <c r="C15" s="51">
        <v>50000.0</v>
      </c>
      <c r="D15" s="51">
        <v>60000.0</v>
      </c>
      <c r="E15" s="48">
        <f t="shared" si="2"/>
        <v>150000</v>
      </c>
      <c r="F15" s="51">
        <v>60000.0</v>
      </c>
      <c r="G15" s="51">
        <v>30000.0</v>
      </c>
      <c r="H15" s="51">
        <v>15000.0</v>
      </c>
      <c r="I15" s="51">
        <v>80000.0</v>
      </c>
      <c r="J15" s="51" t="s">
        <v>1089</v>
      </c>
      <c r="K15" s="51" t="s">
        <v>369</v>
      </c>
      <c r="L15" s="51">
        <v>100000.0</v>
      </c>
      <c r="M15" s="51" t="s">
        <v>1107</v>
      </c>
      <c r="N15" s="51" t="s">
        <v>355</v>
      </c>
      <c r="O15" s="51" t="s">
        <v>355</v>
      </c>
      <c r="P15" s="51" t="s">
        <v>355</v>
      </c>
      <c r="Q15" s="51">
        <v>150000.0</v>
      </c>
      <c r="R15" s="51">
        <v>100000.0</v>
      </c>
      <c r="S15" s="51">
        <v>40000.0</v>
      </c>
      <c r="T15" s="51" t="s">
        <v>1089</v>
      </c>
      <c r="U15" s="51" t="s">
        <v>355</v>
      </c>
      <c r="V15" s="3" t="s">
        <v>1091</v>
      </c>
      <c r="W15" s="51" t="s">
        <v>1108</v>
      </c>
      <c r="X15" s="51" t="s">
        <v>1093</v>
      </c>
    </row>
    <row r="16">
      <c r="A16" s="51" t="s">
        <v>123</v>
      </c>
      <c r="B16" s="51">
        <v>100000.0</v>
      </c>
      <c r="C16" s="51">
        <v>70000.0</v>
      </c>
      <c r="D16" s="51">
        <v>85000.0</v>
      </c>
      <c r="E16" s="48">
        <f t="shared" si="2"/>
        <v>150000</v>
      </c>
      <c r="F16" s="51">
        <v>80000.0</v>
      </c>
      <c r="G16" s="51">
        <v>25000.0</v>
      </c>
      <c r="H16" s="51">
        <v>10000.0</v>
      </c>
      <c r="I16" s="51">
        <v>60000.0</v>
      </c>
      <c r="J16" s="51">
        <v>30000.0</v>
      </c>
      <c r="K16" s="51" t="s">
        <v>1089</v>
      </c>
      <c r="L16" s="51" t="s">
        <v>1089</v>
      </c>
      <c r="M16" s="51" t="s">
        <v>1089</v>
      </c>
      <c r="N16" s="51" t="s">
        <v>1089</v>
      </c>
      <c r="O16" s="51" t="s">
        <v>1089</v>
      </c>
      <c r="P16" s="51" t="s">
        <v>1089</v>
      </c>
      <c r="Q16" s="51" t="s">
        <v>1089</v>
      </c>
      <c r="R16" s="51" t="s">
        <v>1089</v>
      </c>
      <c r="S16" s="51">
        <v>30000.0</v>
      </c>
      <c r="T16" s="51" t="s">
        <v>1089</v>
      </c>
      <c r="U16" s="51" t="s">
        <v>355</v>
      </c>
      <c r="V16" s="3" t="s">
        <v>1091</v>
      </c>
      <c r="W16" s="51" t="s">
        <v>1119</v>
      </c>
      <c r="X16" s="51" t="s">
        <v>1093</v>
      </c>
    </row>
    <row r="17">
      <c r="A17" s="51" t="s">
        <v>116</v>
      </c>
      <c r="B17" s="51">
        <v>50000.0</v>
      </c>
      <c r="C17" s="51">
        <v>35000.0</v>
      </c>
      <c r="D17" s="51">
        <v>45000.0</v>
      </c>
      <c r="E17" s="48">
        <f t="shared" si="2"/>
        <v>75000</v>
      </c>
      <c r="F17" s="51">
        <v>25000.0</v>
      </c>
      <c r="G17" s="51">
        <v>12000.0</v>
      </c>
      <c r="H17" s="51">
        <v>10000.0</v>
      </c>
      <c r="I17" s="51">
        <v>50000.0</v>
      </c>
      <c r="J17" s="51" t="s">
        <v>1089</v>
      </c>
      <c r="K17" s="51">
        <v>40000.0</v>
      </c>
      <c r="L17" s="51">
        <v>70000.0</v>
      </c>
      <c r="M17" s="51" t="s">
        <v>1128</v>
      </c>
      <c r="N17" s="51">
        <v>40000.0</v>
      </c>
      <c r="O17" s="51">
        <v>60000.0</v>
      </c>
      <c r="P17" s="51">
        <v>100000.0</v>
      </c>
      <c r="Q17" s="51" t="s">
        <v>1089</v>
      </c>
      <c r="R17" s="51">
        <v>50000.0</v>
      </c>
      <c r="S17" s="51">
        <v>20000.0</v>
      </c>
      <c r="T17" s="51" t="s">
        <v>1089</v>
      </c>
      <c r="U17" s="51" t="s">
        <v>355</v>
      </c>
      <c r="V17" s="3" t="s">
        <v>1091</v>
      </c>
      <c r="W17" s="51" t="s">
        <v>1136</v>
      </c>
      <c r="X17" s="51" t="s">
        <v>1093</v>
      </c>
    </row>
    <row r="18">
      <c r="A18" s="51" t="s">
        <v>130</v>
      </c>
      <c r="B18" s="51">
        <v>100000.0</v>
      </c>
      <c r="C18" s="51">
        <v>120000.0</v>
      </c>
      <c r="D18" s="51">
        <v>140000.0</v>
      </c>
      <c r="E18" s="51">
        <v>160000.0</v>
      </c>
      <c r="F18" s="51">
        <v>80000.0</v>
      </c>
      <c r="G18" s="51">
        <v>25000.0</v>
      </c>
      <c r="H18" s="51">
        <v>10000.0</v>
      </c>
      <c r="I18" s="51">
        <v>100000.0</v>
      </c>
      <c r="J18" s="51" t="s">
        <v>1089</v>
      </c>
      <c r="K18" s="51" t="s">
        <v>1089</v>
      </c>
      <c r="L18" s="51" t="s">
        <v>1089</v>
      </c>
      <c r="M18" s="51" t="s">
        <v>1145</v>
      </c>
      <c r="N18" s="51">
        <v>70000.0</v>
      </c>
      <c r="O18" s="51">
        <v>120000.0</v>
      </c>
      <c r="P18" s="51">
        <v>200000.0</v>
      </c>
      <c r="Q18" s="51" t="s">
        <v>1089</v>
      </c>
      <c r="R18" s="51" t="s">
        <v>355</v>
      </c>
      <c r="S18" s="51">
        <v>40000.0</v>
      </c>
      <c r="T18" s="51" t="s">
        <v>1089</v>
      </c>
      <c r="U18" s="51" t="s">
        <v>355</v>
      </c>
      <c r="V18" s="3" t="s">
        <v>1091</v>
      </c>
      <c r="W18" s="51" t="s">
        <v>1152</v>
      </c>
      <c r="X18" s="51" t="s">
        <v>1093</v>
      </c>
    </row>
    <row r="19">
      <c r="A19" s="51" t="s">
        <v>108</v>
      </c>
      <c r="B19" s="51">
        <v>25000.0</v>
      </c>
      <c r="C19" s="51">
        <v>40000.0</v>
      </c>
      <c r="D19" s="51">
        <v>35000.0</v>
      </c>
      <c r="E19" s="48">
        <f t="shared" ref="E19:E20" si="3">MAX(B19,C19)*1.5</f>
        <v>60000</v>
      </c>
      <c r="F19" s="51">
        <v>30000.0</v>
      </c>
      <c r="G19" s="51">
        <v>20000.0</v>
      </c>
      <c r="H19" s="51">
        <v>10000.0</v>
      </c>
      <c r="I19" s="51">
        <v>50000.0</v>
      </c>
      <c r="J19" s="51" t="s">
        <v>1089</v>
      </c>
      <c r="K19" s="51">
        <v>40000.0</v>
      </c>
      <c r="L19" s="51">
        <v>70000.0</v>
      </c>
      <c r="M19" s="51" t="s">
        <v>1171</v>
      </c>
      <c r="N19" s="51" t="s">
        <v>355</v>
      </c>
      <c r="O19" s="51" t="s">
        <v>355</v>
      </c>
      <c r="P19" s="51" t="s">
        <v>355</v>
      </c>
      <c r="Q19" s="51" t="s">
        <v>1089</v>
      </c>
      <c r="R19" s="51">
        <v>100000.0</v>
      </c>
      <c r="S19" s="51">
        <v>25000.0</v>
      </c>
      <c r="T19" s="51" t="s">
        <v>1089</v>
      </c>
      <c r="U19" s="51" t="s">
        <v>355</v>
      </c>
      <c r="V19" s="3" t="s">
        <v>1091</v>
      </c>
      <c r="W19" s="51" t="s">
        <v>1182</v>
      </c>
      <c r="X19" s="51" t="s">
        <v>1093</v>
      </c>
    </row>
    <row r="20">
      <c r="A20" s="51" t="s">
        <v>112</v>
      </c>
      <c r="B20" s="51">
        <v>30000.0</v>
      </c>
      <c r="C20" s="51">
        <v>40000.0</v>
      </c>
      <c r="D20" s="51">
        <v>50000.0</v>
      </c>
      <c r="E20" s="48">
        <f t="shared" si="3"/>
        <v>60000</v>
      </c>
      <c r="F20" s="51">
        <v>30000.0</v>
      </c>
      <c r="G20" s="51">
        <v>15000.0</v>
      </c>
      <c r="H20" s="51">
        <v>10000.0</v>
      </c>
      <c r="I20" s="51">
        <v>60000.0</v>
      </c>
      <c r="J20" s="51">
        <v>60000.0</v>
      </c>
      <c r="K20" s="51">
        <v>50000.0</v>
      </c>
      <c r="L20" s="51">
        <v>60000.0</v>
      </c>
      <c r="M20" s="51" t="s">
        <v>431</v>
      </c>
      <c r="N20" s="51">
        <v>20000.0</v>
      </c>
      <c r="O20" s="51">
        <v>25000.0</v>
      </c>
      <c r="P20" s="51">
        <v>40000.0</v>
      </c>
      <c r="Q20" s="51" t="s">
        <v>1089</v>
      </c>
      <c r="R20" s="51">
        <v>60000.0</v>
      </c>
      <c r="S20" s="51">
        <v>30000.0</v>
      </c>
      <c r="T20" s="51" t="s">
        <v>1089</v>
      </c>
      <c r="U20" s="51" t="s">
        <v>355</v>
      </c>
      <c r="V20" s="3" t="s">
        <v>1091</v>
      </c>
      <c r="W20" s="51" t="s">
        <v>1206</v>
      </c>
      <c r="X20" s="51" t="s">
        <v>1093</v>
      </c>
    </row>
    <row r="21">
      <c r="A21" s="51" t="s">
        <v>433</v>
      </c>
      <c r="B21" s="51" t="s">
        <v>355</v>
      </c>
      <c r="C21" s="51" t="s">
        <v>355</v>
      </c>
      <c r="D21" s="51" t="s">
        <v>355</v>
      </c>
      <c r="E21" s="51" t="s">
        <v>355</v>
      </c>
      <c r="F21" s="51" t="s">
        <v>355</v>
      </c>
      <c r="G21" s="51" t="s">
        <v>355</v>
      </c>
      <c r="H21" s="51" t="s">
        <v>355</v>
      </c>
      <c r="I21" s="51" t="s">
        <v>355</v>
      </c>
      <c r="J21" s="51" t="s">
        <v>355</v>
      </c>
      <c r="K21" s="51" t="s">
        <v>355</v>
      </c>
      <c r="L21" s="51" t="s">
        <v>355</v>
      </c>
      <c r="M21" s="51" t="s">
        <v>1208</v>
      </c>
      <c r="N21" s="51" t="s">
        <v>355</v>
      </c>
      <c r="O21" s="51" t="s">
        <v>355</v>
      </c>
      <c r="P21" s="51" t="s">
        <v>355</v>
      </c>
      <c r="Q21" s="51" t="s">
        <v>355</v>
      </c>
      <c r="R21" s="51" t="s">
        <v>355</v>
      </c>
      <c r="S21" s="51" t="s">
        <v>355</v>
      </c>
      <c r="T21" s="51" t="s">
        <v>1089</v>
      </c>
      <c r="U21" s="51" t="s">
        <v>355</v>
      </c>
      <c r="V21" s="51" t="s">
        <v>1209</v>
      </c>
      <c r="W21" s="51" t="s">
        <v>1210</v>
      </c>
      <c r="X21" s="51" t="s">
        <v>1211</v>
      </c>
    </row>
    <row r="22">
      <c r="A22" s="51" t="s">
        <v>137</v>
      </c>
      <c r="B22" s="51" t="s">
        <v>355</v>
      </c>
      <c r="C22" s="51" t="s">
        <v>355</v>
      </c>
      <c r="D22" s="51" t="s">
        <v>355</v>
      </c>
      <c r="E22" s="51" t="s">
        <v>355</v>
      </c>
      <c r="F22" s="51" t="s">
        <v>355</v>
      </c>
      <c r="G22" s="51" t="s">
        <v>355</v>
      </c>
      <c r="H22" s="51" t="s">
        <v>355</v>
      </c>
      <c r="I22" s="51" t="s">
        <v>355</v>
      </c>
      <c r="J22" s="51" t="s">
        <v>355</v>
      </c>
      <c r="K22" s="51" t="s">
        <v>355</v>
      </c>
      <c r="L22" s="51" t="s">
        <v>355</v>
      </c>
      <c r="M22" s="51" t="s">
        <v>440</v>
      </c>
      <c r="N22" s="51" t="s">
        <v>355</v>
      </c>
      <c r="O22" s="51" t="s">
        <v>355</v>
      </c>
      <c r="P22" s="51" t="s">
        <v>355</v>
      </c>
      <c r="Q22" s="51" t="s">
        <v>355</v>
      </c>
      <c r="R22" s="51" t="s">
        <v>355</v>
      </c>
      <c r="S22" s="51" t="s">
        <v>355</v>
      </c>
      <c r="T22" s="51" t="s">
        <v>1089</v>
      </c>
      <c r="U22" s="51" t="s">
        <v>355</v>
      </c>
      <c r="V22" s="51" t="s">
        <v>1212</v>
      </c>
      <c r="W22" s="51" t="s">
        <v>1213</v>
      </c>
      <c r="X22" s="51" t="s">
        <v>1214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8" width="21.57"/>
  </cols>
  <sheetData>
    <row r="1">
      <c r="A1" s="47" t="s">
        <v>1109</v>
      </c>
      <c r="B1" s="47" t="s">
        <v>1</v>
      </c>
      <c r="C1" s="47" t="s">
        <v>1110</v>
      </c>
      <c r="D1" s="47" t="s">
        <v>1111</v>
      </c>
      <c r="E1" s="47" t="s">
        <v>1112</v>
      </c>
      <c r="F1" s="47" t="s">
        <v>1113</v>
      </c>
      <c r="G1" s="47" t="s">
        <v>1114</v>
      </c>
      <c r="H1" s="47" t="s">
        <v>226</v>
      </c>
      <c r="I1" s="47" t="s">
        <v>143</v>
      </c>
      <c r="J1" s="47" t="s">
        <v>1115</v>
      </c>
      <c r="K1" s="47" t="s">
        <v>1116</v>
      </c>
      <c r="L1" s="47" t="s">
        <v>1117</v>
      </c>
      <c r="M1" s="47" t="s">
        <v>1118</v>
      </c>
      <c r="N1" s="47" t="s">
        <v>1120</v>
      </c>
      <c r="O1" s="47" t="s">
        <v>1121</v>
      </c>
      <c r="P1" s="47" t="s">
        <v>1122</v>
      </c>
      <c r="Q1" s="47" t="s">
        <v>242</v>
      </c>
      <c r="R1" s="47" t="s">
        <v>27</v>
      </c>
    </row>
    <row r="2">
      <c r="A2" s="54" t="s">
        <v>1123</v>
      </c>
      <c r="B2" s="55" t="s">
        <v>1124</v>
      </c>
      <c r="C2" s="54" t="s">
        <v>1125</v>
      </c>
      <c r="D2" s="54" t="s">
        <v>1126</v>
      </c>
      <c r="E2" s="54" t="s">
        <v>1127</v>
      </c>
      <c r="F2" s="54" t="s">
        <v>1129</v>
      </c>
      <c r="G2" s="54" t="s">
        <v>1130</v>
      </c>
      <c r="H2" s="54" t="s">
        <v>1131</v>
      </c>
      <c r="I2" s="54" t="s">
        <v>1132</v>
      </c>
      <c r="J2" s="54" t="s">
        <v>1133</v>
      </c>
      <c r="K2" s="54" t="s">
        <v>1134</v>
      </c>
      <c r="L2" s="54" t="s">
        <v>1135</v>
      </c>
      <c r="M2" s="54" t="s">
        <v>1137</v>
      </c>
      <c r="N2" s="54" t="s">
        <v>1138</v>
      </c>
      <c r="O2" s="54" t="s">
        <v>1139</v>
      </c>
      <c r="P2" s="54" t="s">
        <v>1140</v>
      </c>
      <c r="Q2" s="54" t="s">
        <v>1141</v>
      </c>
      <c r="R2" s="55" t="s">
        <v>1142</v>
      </c>
    </row>
    <row r="3">
      <c r="A3" s="51" t="s">
        <v>1143</v>
      </c>
      <c r="B3" s="56" t="s">
        <v>1142</v>
      </c>
      <c r="C3" s="51" t="s">
        <v>1144</v>
      </c>
      <c r="D3" s="51" t="s">
        <v>256</v>
      </c>
      <c r="E3" s="51" t="s">
        <v>1127</v>
      </c>
      <c r="F3" s="51" t="s">
        <v>1129</v>
      </c>
      <c r="G3" s="51" t="s">
        <v>1146</v>
      </c>
      <c r="H3" s="51" t="s">
        <v>1147</v>
      </c>
      <c r="I3" s="51" t="s">
        <v>1148</v>
      </c>
      <c r="J3" s="51" t="s">
        <v>256</v>
      </c>
      <c r="K3" s="51" t="s">
        <v>256</v>
      </c>
      <c r="L3" s="51" t="s">
        <v>256</v>
      </c>
      <c r="M3" s="51" t="s">
        <v>1149</v>
      </c>
      <c r="N3" s="51" t="s">
        <v>256</v>
      </c>
      <c r="O3" s="51" t="s">
        <v>256</v>
      </c>
      <c r="P3" s="51" t="s">
        <v>1140</v>
      </c>
      <c r="Q3" s="51" t="s">
        <v>1150</v>
      </c>
      <c r="R3" s="56" t="s">
        <v>1142</v>
      </c>
    </row>
    <row r="4">
      <c r="A4" s="51" t="s">
        <v>1151</v>
      </c>
      <c r="B4" s="56" t="s">
        <v>1142</v>
      </c>
      <c r="C4" s="51" t="s">
        <v>632</v>
      </c>
      <c r="D4" s="51" t="s">
        <v>256</v>
      </c>
      <c r="E4" s="51" t="s">
        <v>1127</v>
      </c>
      <c r="F4" s="51" t="s">
        <v>1129</v>
      </c>
      <c r="G4" s="51" t="s">
        <v>1153</v>
      </c>
      <c r="H4" s="51" t="s">
        <v>1154</v>
      </c>
      <c r="I4" s="51" t="s">
        <v>1148</v>
      </c>
      <c r="J4" s="51" t="s">
        <v>256</v>
      </c>
      <c r="K4" s="51" t="s">
        <v>256</v>
      </c>
      <c r="L4" s="51" t="s">
        <v>256</v>
      </c>
      <c r="M4" s="51" t="s">
        <v>1155</v>
      </c>
      <c r="N4" s="51" t="s">
        <v>256</v>
      </c>
      <c r="O4" s="51" t="s">
        <v>256</v>
      </c>
      <c r="P4" s="51" t="s">
        <v>1140</v>
      </c>
      <c r="Q4" s="51" t="s">
        <v>1156</v>
      </c>
      <c r="R4" s="56" t="s">
        <v>1142</v>
      </c>
    </row>
    <row r="5">
      <c r="A5" s="51" t="s">
        <v>1157</v>
      </c>
      <c r="B5" s="56" t="s">
        <v>1142</v>
      </c>
      <c r="C5" s="51" t="s">
        <v>1158</v>
      </c>
      <c r="D5" s="51" t="s">
        <v>256</v>
      </c>
      <c r="E5" s="51" t="s">
        <v>1127</v>
      </c>
      <c r="F5" s="51" t="s">
        <v>1129</v>
      </c>
      <c r="G5" s="51" t="s">
        <v>1159</v>
      </c>
      <c r="H5" s="51" t="s">
        <v>1160</v>
      </c>
      <c r="I5" s="51" t="s">
        <v>1161</v>
      </c>
      <c r="J5" s="51" t="s">
        <v>256</v>
      </c>
      <c r="K5" s="51" t="s">
        <v>256</v>
      </c>
      <c r="L5" s="51" t="s">
        <v>256</v>
      </c>
      <c r="M5" s="51" t="s">
        <v>1162</v>
      </c>
      <c r="N5" s="51" t="s">
        <v>97</v>
      </c>
      <c r="O5" s="51" t="s">
        <v>256</v>
      </c>
      <c r="P5" s="51" t="s">
        <v>1140</v>
      </c>
      <c r="Q5" s="51" t="s">
        <v>1163</v>
      </c>
      <c r="R5" s="56" t="s">
        <v>1142</v>
      </c>
    </row>
    <row r="6">
      <c r="A6" s="51" t="s">
        <v>1164</v>
      </c>
      <c r="B6" s="56" t="s">
        <v>1142</v>
      </c>
      <c r="C6" s="51" t="s">
        <v>1165</v>
      </c>
      <c r="D6" s="51" t="s">
        <v>256</v>
      </c>
      <c r="E6" s="51" t="s">
        <v>1166</v>
      </c>
      <c r="F6" s="51" t="s">
        <v>1129</v>
      </c>
      <c r="G6" s="51" t="s">
        <v>1167</v>
      </c>
      <c r="H6" s="51" t="s">
        <v>1168</v>
      </c>
      <c r="I6" s="51" t="s">
        <v>1169</v>
      </c>
      <c r="J6" s="51" t="s">
        <v>256</v>
      </c>
      <c r="K6" s="51" t="s">
        <v>256</v>
      </c>
      <c r="L6" s="51" t="s">
        <v>256</v>
      </c>
      <c r="M6" s="51" t="s">
        <v>1170</v>
      </c>
      <c r="N6" s="51" t="s">
        <v>256</v>
      </c>
      <c r="O6" s="51" t="s">
        <v>256</v>
      </c>
      <c r="P6" s="51" t="s">
        <v>1172</v>
      </c>
      <c r="Q6" s="51" t="s">
        <v>1173</v>
      </c>
      <c r="R6" s="56" t="s">
        <v>1174</v>
      </c>
    </row>
    <row r="7">
      <c r="A7" s="51" t="s">
        <v>1175</v>
      </c>
      <c r="B7" s="56" t="s">
        <v>1142</v>
      </c>
      <c r="C7" s="51" t="s">
        <v>1176</v>
      </c>
      <c r="D7" s="51" t="s">
        <v>1177</v>
      </c>
      <c r="E7" s="51" t="s">
        <v>1127</v>
      </c>
      <c r="F7" s="51" t="s">
        <v>1129</v>
      </c>
      <c r="G7" s="51" t="s">
        <v>1178</v>
      </c>
      <c r="H7" s="51" t="s">
        <v>1179</v>
      </c>
      <c r="I7" s="51" t="s">
        <v>1132</v>
      </c>
      <c r="J7" s="51" t="s">
        <v>1180</v>
      </c>
      <c r="K7" s="51" t="s">
        <v>1181</v>
      </c>
      <c r="L7" s="51" t="s">
        <v>1183</v>
      </c>
      <c r="M7" s="51" t="s">
        <v>1184</v>
      </c>
      <c r="N7" s="51" t="s">
        <v>1185</v>
      </c>
      <c r="O7" s="51" t="s">
        <v>1186</v>
      </c>
      <c r="P7" s="51" t="s">
        <v>1187</v>
      </c>
      <c r="Q7" s="51" t="s">
        <v>1188</v>
      </c>
      <c r="R7" s="56" t="s">
        <v>1174</v>
      </c>
    </row>
    <row r="8">
      <c r="A8" s="51" t="s">
        <v>1189</v>
      </c>
      <c r="B8" s="56" t="s">
        <v>1142</v>
      </c>
      <c r="C8" s="51" t="s">
        <v>1190</v>
      </c>
      <c r="D8" s="51" t="s">
        <v>196</v>
      </c>
      <c r="E8" s="51" t="s">
        <v>1127</v>
      </c>
      <c r="F8" s="51" t="s">
        <v>1129</v>
      </c>
      <c r="G8" s="51" t="s">
        <v>1191</v>
      </c>
      <c r="H8" s="51" t="s">
        <v>1192</v>
      </c>
      <c r="I8" s="51" t="s">
        <v>1161</v>
      </c>
      <c r="J8" s="51" t="s">
        <v>1193</v>
      </c>
      <c r="K8" s="51" t="s">
        <v>1194</v>
      </c>
      <c r="L8" s="51" t="s">
        <v>1183</v>
      </c>
      <c r="M8" s="51" t="s">
        <v>1195</v>
      </c>
      <c r="N8" s="51" t="s">
        <v>74</v>
      </c>
      <c r="O8" s="51" t="s">
        <v>1196</v>
      </c>
      <c r="P8" s="51" t="s">
        <v>1197</v>
      </c>
      <c r="Q8" s="51" t="s">
        <v>1198</v>
      </c>
      <c r="R8" s="56" t="s">
        <v>1142</v>
      </c>
    </row>
    <row r="9">
      <c r="A9" s="51" t="s">
        <v>1199</v>
      </c>
      <c r="B9" s="56" t="s">
        <v>1174</v>
      </c>
      <c r="C9" s="51" t="s">
        <v>1200</v>
      </c>
      <c r="D9" s="51" t="s">
        <v>1201</v>
      </c>
      <c r="E9" s="51" t="s">
        <v>1127</v>
      </c>
      <c r="F9" s="51" t="s">
        <v>1129</v>
      </c>
      <c r="G9" s="51" t="s">
        <v>1202</v>
      </c>
      <c r="H9" s="51" t="s">
        <v>1147</v>
      </c>
      <c r="I9" s="51" t="s">
        <v>1132</v>
      </c>
      <c r="J9" s="51" t="s">
        <v>1133</v>
      </c>
      <c r="K9" s="51" t="s">
        <v>1203</v>
      </c>
      <c r="L9" s="51" t="s">
        <v>1135</v>
      </c>
      <c r="M9" s="51" t="s">
        <v>1204</v>
      </c>
      <c r="N9" s="51" t="s">
        <v>1205</v>
      </c>
      <c r="O9" s="51" t="s">
        <v>1196</v>
      </c>
      <c r="P9" s="51" t="s">
        <v>1187</v>
      </c>
      <c r="Q9" s="51" t="s">
        <v>1207</v>
      </c>
      <c r="R9" s="56" t="s">
        <v>1174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8.57"/>
    <col customWidth="1" min="2" max="2" width="40.14"/>
    <col customWidth="1" min="3" max="3" width="14.43"/>
    <col customWidth="1" min="4" max="4" width="25.0"/>
    <col customWidth="1" min="5" max="6" width="31.43"/>
    <col customWidth="1" min="7" max="7" width="17.71"/>
    <col customWidth="1" min="8" max="9" width="25.0"/>
    <col customWidth="1" min="10" max="10" width="51.57"/>
    <col customWidth="1" min="11" max="11" width="18.14"/>
    <col customWidth="1" min="12" max="12" width="14.57"/>
    <col customWidth="1" min="13" max="13" width="23.57"/>
    <col customWidth="1" min="14" max="14" width="13.29"/>
  </cols>
  <sheetData>
    <row r="1">
      <c r="A1" s="57" t="s">
        <v>1109</v>
      </c>
      <c r="B1" s="57" t="s">
        <v>1215</v>
      </c>
      <c r="C1" s="57" t="s">
        <v>1216</v>
      </c>
      <c r="D1" s="57" t="s">
        <v>1217</v>
      </c>
      <c r="E1" s="57" t="s">
        <v>1218</v>
      </c>
      <c r="F1" s="57" t="s">
        <v>1219</v>
      </c>
      <c r="G1" s="57" t="s">
        <v>183</v>
      </c>
      <c r="H1" s="57" t="s">
        <v>1220</v>
      </c>
      <c r="I1" s="57" t="s">
        <v>1221</v>
      </c>
      <c r="J1" s="57" t="s">
        <v>1222</v>
      </c>
      <c r="K1" s="57" t="s">
        <v>1223</v>
      </c>
      <c r="L1" s="57" t="s">
        <v>26</v>
      </c>
      <c r="M1" s="57" t="s">
        <v>1224</v>
      </c>
      <c r="N1" s="57" t="s">
        <v>27</v>
      </c>
    </row>
    <row r="2">
      <c r="A2" s="51" t="s">
        <v>1123</v>
      </c>
      <c r="B2" s="51" t="s">
        <v>1225</v>
      </c>
      <c r="C2" s="51" t="s">
        <v>44</v>
      </c>
      <c r="D2" s="51" t="s">
        <v>1226</v>
      </c>
      <c r="E2" s="51" t="s">
        <v>1226</v>
      </c>
      <c r="F2" s="51" t="s">
        <v>1226</v>
      </c>
      <c r="G2" s="51" t="s">
        <v>1227</v>
      </c>
      <c r="H2" s="51" t="s">
        <v>1226</v>
      </c>
      <c r="I2" s="51" t="s">
        <v>1226</v>
      </c>
      <c r="J2" s="51" t="s">
        <v>1228</v>
      </c>
      <c r="K2" s="56" t="s">
        <v>1229</v>
      </c>
      <c r="L2" s="51" t="s">
        <v>1129</v>
      </c>
      <c r="M2" s="51" t="s">
        <v>1230</v>
      </c>
      <c r="N2" s="56" t="s">
        <v>1142</v>
      </c>
    </row>
    <row r="3">
      <c r="A3" s="51" t="s">
        <v>1143</v>
      </c>
      <c r="B3" s="51" t="s">
        <v>1231</v>
      </c>
      <c r="C3" s="51" t="s">
        <v>44</v>
      </c>
      <c r="D3" s="51" t="s">
        <v>1226</v>
      </c>
      <c r="E3" s="51" t="s">
        <v>1232</v>
      </c>
      <c r="F3" s="51" t="s">
        <v>1232</v>
      </c>
      <c r="G3" s="51" t="s">
        <v>1227</v>
      </c>
      <c r="H3" s="51" t="s">
        <v>1226</v>
      </c>
      <c r="I3" s="51" t="s">
        <v>1226</v>
      </c>
      <c r="J3" s="51" t="s">
        <v>1233</v>
      </c>
      <c r="K3" s="51" t="s">
        <v>44</v>
      </c>
      <c r="L3" s="51" t="s">
        <v>1129</v>
      </c>
      <c r="M3" s="51" t="s">
        <v>1230</v>
      </c>
      <c r="N3" s="56" t="s">
        <v>1142</v>
      </c>
    </row>
    <row r="4">
      <c r="A4" s="51" t="s">
        <v>1151</v>
      </c>
      <c r="B4" s="51" t="s">
        <v>1234</v>
      </c>
      <c r="C4" s="51" t="s">
        <v>44</v>
      </c>
      <c r="D4" s="51" t="s">
        <v>1226</v>
      </c>
      <c r="E4" s="51" t="s">
        <v>1232</v>
      </c>
      <c r="F4" s="51" t="s">
        <v>1227</v>
      </c>
      <c r="G4" s="51" t="s">
        <v>1227</v>
      </c>
      <c r="H4" s="51" t="s">
        <v>1226</v>
      </c>
      <c r="I4" s="51" t="s">
        <v>1226</v>
      </c>
      <c r="J4" s="51" t="s">
        <v>1235</v>
      </c>
      <c r="K4" s="51" t="s">
        <v>44</v>
      </c>
      <c r="L4" s="51" t="s">
        <v>1129</v>
      </c>
      <c r="M4" s="51" t="s">
        <v>1230</v>
      </c>
      <c r="N4" s="56" t="s">
        <v>1142</v>
      </c>
    </row>
    <row r="5">
      <c r="A5" s="51" t="s">
        <v>1157</v>
      </c>
      <c r="B5" s="51" t="s">
        <v>1236</v>
      </c>
      <c r="C5" s="51" t="s">
        <v>44</v>
      </c>
      <c r="D5" s="51" t="s">
        <v>1226</v>
      </c>
      <c r="E5" s="51" t="s">
        <v>1232</v>
      </c>
      <c r="F5" s="51" t="s">
        <v>44</v>
      </c>
      <c r="G5" s="51" t="s">
        <v>1237</v>
      </c>
      <c r="H5" s="51" t="s">
        <v>1226</v>
      </c>
      <c r="I5" s="51" t="s">
        <v>1226</v>
      </c>
      <c r="J5" s="51" t="s">
        <v>1238</v>
      </c>
      <c r="K5" s="51" t="s">
        <v>44</v>
      </c>
      <c r="L5" s="51" t="s">
        <v>1129</v>
      </c>
      <c r="M5" s="51" t="s">
        <v>1230</v>
      </c>
      <c r="N5" s="56" t="s">
        <v>1142</v>
      </c>
    </row>
    <row r="6">
      <c r="A6" s="51" t="s">
        <v>1164</v>
      </c>
      <c r="B6" s="51" t="s">
        <v>1239</v>
      </c>
      <c r="C6" s="51" t="s">
        <v>44</v>
      </c>
      <c r="D6" s="51" t="s">
        <v>1226</v>
      </c>
      <c r="E6" s="51" t="s">
        <v>1232</v>
      </c>
      <c r="F6" s="51" t="s">
        <v>1240</v>
      </c>
      <c r="G6" s="51" t="s">
        <v>1227</v>
      </c>
      <c r="H6" s="51" t="s">
        <v>1226</v>
      </c>
      <c r="I6" s="51" t="s">
        <v>1226</v>
      </c>
      <c r="J6" s="51" t="s">
        <v>1241</v>
      </c>
      <c r="K6" s="51" t="s">
        <v>44</v>
      </c>
      <c r="L6" s="51" t="s">
        <v>1129</v>
      </c>
      <c r="M6" s="51" t="s">
        <v>1242</v>
      </c>
      <c r="N6" s="56" t="s">
        <v>1142</v>
      </c>
    </row>
    <row r="7">
      <c r="A7" s="51" t="s">
        <v>1175</v>
      </c>
      <c r="B7" s="51" t="s">
        <v>1243</v>
      </c>
      <c r="C7" s="51" t="s">
        <v>44</v>
      </c>
      <c r="D7" s="51" t="s">
        <v>1226</v>
      </c>
      <c r="E7" s="51" t="s">
        <v>1244</v>
      </c>
      <c r="F7" s="51" t="s">
        <v>1244</v>
      </c>
      <c r="G7" s="51" t="s">
        <v>1227</v>
      </c>
      <c r="H7" s="51" t="s">
        <v>1226</v>
      </c>
      <c r="I7" s="51" t="s">
        <v>1226</v>
      </c>
      <c r="J7" s="51" t="s">
        <v>1245</v>
      </c>
      <c r="K7" s="51" t="s">
        <v>44</v>
      </c>
      <c r="L7" s="51" t="s">
        <v>1129</v>
      </c>
      <c r="M7" s="51" t="s">
        <v>1246</v>
      </c>
      <c r="N7" s="56" t="s">
        <v>1142</v>
      </c>
    </row>
    <row r="8">
      <c r="A8" s="51" t="s">
        <v>1189</v>
      </c>
      <c r="B8" s="51" t="s">
        <v>1247</v>
      </c>
      <c r="C8" s="51" t="s">
        <v>1248</v>
      </c>
      <c r="D8" s="51" t="s">
        <v>1249</v>
      </c>
      <c r="E8" s="51" t="s">
        <v>1250</v>
      </c>
      <c r="F8" s="51" t="s">
        <v>1251</v>
      </c>
      <c r="G8" s="51" t="s">
        <v>1252</v>
      </c>
      <c r="H8" s="51" t="s">
        <v>1253</v>
      </c>
      <c r="I8" s="51" t="s">
        <v>1254</v>
      </c>
      <c r="J8" s="51" t="s">
        <v>1255</v>
      </c>
      <c r="K8" s="51" t="s">
        <v>1256</v>
      </c>
      <c r="L8" s="51" t="s">
        <v>1129</v>
      </c>
      <c r="M8" s="51" t="s">
        <v>1257</v>
      </c>
      <c r="N8" s="56" t="s">
        <v>1142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7" width="21.57"/>
    <col customWidth="1" min="8" max="8" width="48.71"/>
    <col customWidth="1" min="9" max="10" width="21.57"/>
    <col customWidth="1" min="11" max="11" width="60.14"/>
    <col customWidth="1" min="12" max="16" width="21.57"/>
  </cols>
  <sheetData>
    <row r="1">
      <c r="A1" s="58" t="s">
        <v>1258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</row>
    <row r="2">
      <c r="A2" s="51" t="s">
        <v>1259</v>
      </c>
    </row>
    <row r="3">
      <c r="A3" s="60" t="s">
        <v>1260</v>
      </c>
      <c r="B3" s="60" t="s">
        <v>1261</v>
      </c>
      <c r="C3" s="60" t="s">
        <v>1262</v>
      </c>
      <c r="D3" s="60" t="s">
        <v>1263</v>
      </c>
      <c r="E3" s="60" t="s">
        <v>1264</v>
      </c>
      <c r="F3" s="60" t="s">
        <v>1265</v>
      </c>
      <c r="G3" s="60" t="s">
        <v>1266</v>
      </c>
      <c r="H3" s="60" t="s">
        <v>1267</v>
      </c>
      <c r="I3" s="60" t="s">
        <v>153</v>
      </c>
      <c r="J3" s="60" t="s">
        <v>1268</v>
      </c>
      <c r="K3" s="60" t="s">
        <v>1269</v>
      </c>
      <c r="L3" s="60" t="s">
        <v>1270</v>
      </c>
      <c r="M3" s="60" t="s">
        <v>1271</v>
      </c>
      <c r="N3" s="60" t="s">
        <v>1272</v>
      </c>
      <c r="O3" s="60" t="s">
        <v>1273</v>
      </c>
      <c r="P3" s="60" t="s">
        <v>1274</v>
      </c>
    </row>
    <row r="4">
      <c r="A4" s="54" t="s">
        <v>1275</v>
      </c>
      <c r="B4" s="54" t="s">
        <v>1276</v>
      </c>
      <c r="C4" s="54" t="s">
        <v>1277</v>
      </c>
      <c r="D4" s="54" t="s">
        <v>1278</v>
      </c>
      <c r="E4" s="54" t="s">
        <v>1212</v>
      </c>
      <c r="F4" s="54" t="s">
        <v>1279</v>
      </c>
      <c r="G4" s="54" t="s">
        <v>1280</v>
      </c>
      <c r="H4" s="61" t="s">
        <v>1281</v>
      </c>
      <c r="I4" s="54" t="s">
        <v>44</v>
      </c>
      <c r="J4" s="54" t="s">
        <v>1282</v>
      </c>
      <c r="K4" s="54" t="s">
        <v>1283</v>
      </c>
      <c r="L4" s="54" t="s">
        <v>1284</v>
      </c>
      <c r="M4" s="54" t="s">
        <v>1284</v>
      </c>
      <c r="N4" s="54" t="s">
        <v>1284</v>
      </c>
      <c r="O4" s="54" t="s">
        <v>1285</v>
      </c>
      <c r="P4" s="54" t="s">
        <v>1286</v>
      </c>
    </row>
    <row r="5">
      <c r="A5" s="54" t="s">
        <v>1287</v>
      </c>
      <c r="B5" s="54" t="s">
        <v>1288</v>
      </c>
      <c r="C5" s="54" t="s">
        <v>1289</v>
      </c>
      <c r="D5" s="54" t="s">
        <v>1290</v>
      </c>
      <c r="E5" s="54" t="s">
        <v>1291</v>
      </c>
      <c r="F5" s="54" t="s">
        <v>1292</v>
      </c>
      <c r="G5" s="54" t="s">
        <v>1280</v>
      </c>
      <c r="H5" s="61" t="s">
        <v>1293</v>
      </c>
      <c r="I5" s="54" t="s">
        <v>44</v>
      </c>
      <c r="J5" s="54" t="s">
        <v>1294</v>
      </c>
      <c r="K5" s="54" t="s">
        <v>1295</v>
      </c>
      <c r="L5" s="12"/>
      <c r="M5" s="12"/>
      <c r="N5" s="12"/>
      <c r="O5" s="12"/>
      <c r="P5" s="12"/>
    </row>
    <row r="6">
      <c r="A6" s="54" t="s">
        <v>1296</v>
      </c>
      <c r="B6" s="54" t="s">
        <v>1297</v>
      </c>
      <c r="C6" s="54" t="s">
        <v>1298</v>
      </c>
      <c r="D6" s="54" t="s">
        <v>1299</v>
      </c>
      <c r="E6" s="54" t="s">
        <v>1300</v>
      </c>
      <c r="F6" s="55" t="s">
        <v>1301</v>
      </c>
      <c r="G6" s="54" t="s">
        <v>1280</v>
      </c>
      <c r="H6" s="61" t="s">
        <v>1302</v>
      </c>
      <c r="I6" s="54" t="s">
        <v>44</v>
      </c>
      <c r="J6" s="54" t="s">
        <v>1294</v>
      </c>
      <c r="K6" s="54" t="s">
        <v>1303</v>
      </c>
      <c r="L6" s="12"/>
      <c r="M6" s="12"/>
      <c r="N6" s="12"/>
      <c r="O6" s="12"/>
      <c r="P6" s="12"/>
    </row>
  </sheetData>
  <hyperlinks>
    <hyperlink r:id="rId1" ref="H4"/>
    <hyperlink r:id="rId2" ref="H5"/>
    <hyperlink r:id="rId3" ref="H6"/>
  </hyperlinks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sheetData/>
  <drawing r:id="rId1"/>
</worksheet>
</file>